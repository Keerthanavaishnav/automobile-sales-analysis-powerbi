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SM-PGDDSBA -QTR1\DVDM\DVDM PRESENTATION\"/>
    </mc:Choice>
  </mc:AlternateContent>
  <xr:revisionPtr revIDLastSave="0" documentId="8_{B6E42278-91EF-4EEB-9A6E-B59F8AFDEDAB}" xr6:coauthVersionLast="47" xr6:coauthVersionMax="47" xr10:uidLastSave="{00000000-0000-0000-0000-000000000000}"/>
  <bookViews>
    <workbookView xWindow="-108" yWindow="-108" windowWidth="23256" windowHeight="13896" xr2:uid="{1A564276-C159-4E39-9E9E-B7D3BB27C41D}"/>
  </bookViews>
  <sheets>
    <sheet name="FY24-25 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1" l="1"/>
  <c r="X95" i="1"/>
  <c r="T95" i="1"/>
  <c r="S95" i="1"/>
  <c r="P95" i="1"/>
  <c r="O95" i="1"/>
  <c r="V95" i="1" s="1"/>
  <c r="N95" i="1"/>
  <c r="Q95" i="1" s="1"/>
  <c r="D95" i="1"/>
  <c r="W95" i="1" s="1"/>
  <c r="Y94" i="1"/>
  <c r="X94" i="1"/>
  <c r="T94" i="1"/>
  <c r="S94" i="1"/>
  <c r="P94" i="1"/>
  <c r="V94" i="1" s="1"/>
  <c r="O94" i="1"/>
  <c r="N94" i="1"/>
  <c r="Q94" i="1" s="1"/>
  <c r="D94" i="1"/>
  <c r="W94" i="1" s="1"/>
  <c r="Y93" i="1"/>
  <c r="X93" i="1"/>
  <c r="T93" i="1"/>
  <c r="S93" i="1"/>
  <c r="P93" i="1"/>
  <c r="O93" i="1"/>
  <c r="V93" i="1" s="1"/>
  <c r="N93" i="1"/>
  <c r="D93" i="1"/>
  <c r="W93" i="1" s="1"/>
  <c r="Y92" i="1"/>
  <c r="X92" i="1"/>
  <c r="W92" i="1"/>
  <c r="T92" i="1"/>
  <c r="S92" i="1"/>
  <c r="P92" i="1"/>
  <c r="O92" i="1"/>
  <c r="V92" i="1" s="1"/>
  <c r="N92" i="1"/>
  <c r="Q92" i="1" s="1"/>
  <c r="D92" i="1"/>
  <c r="Y91" i="1"/>
  <c r="X91" i="1"/>
  <c r="W91" i="1"/>
  <c r="V91" i="1"/>
  <c r="T91" i="1"/>
  <c r="S91" i="1"/>
  <c r="Q91" i="1"/>
  <c r="P91" i="1"/>
  <c r="O91" i="1"/>
  <c r="N91" i="1"/>
  <c r="Y90" i="1"/>
  <c r="X90" i="1"/>
  <c r="W90" i="1"/>
  <c r="V90" i="1"/>
  <c r="T90" i="1"/>
  <c r="S90" i="1"/>
  <c r="P90" i="1"/>
  <c r="O90" i="1"/>
  <c r="N90" i="1"/>
  <c r="Q90" i="1" s="1"/>
  <c r="D90" i="1"/>
  <c r="Y89" i="1"/>
  <c r="X89" i="1"/>
  <c r="V89" i="1"/>
  <c r="T89" i="1"/>
  <c r="S89" i="1"/>
  <c r="Q89" i="1"/>
  <c r="P89" i="1"/>
  <c r="O89" i="1"/>
  <c r="N89" i="1"/>
  <c r="D89" i="1"/>
  <c r="W89" i="1" s="1"/>
  <c r="Y88" i="1"/>
  <c r="X88" i="1"/>
  <c r="T88" i="1"/>
  <c r="S88" i="1"/>
  <c r="P88" i="1"/>
  <c r="Q88" i="1" s="1"/>
  <c r="O88" i="1"/>
  <c r="V88" i="1" s="1"/>
  <c r="N88" i="1"/>
  <c r="D88" i="1"/>
  <c r="Y87" i="1"/>
  <c r="X87" i="1"/>
  <c r="T87" i="1"/>
  <c r="S87" i="1"/>
  <c r="P87" i="1"/>
  <c r="O87" i="1"/>
  <c r="V87" i="1" s="1"/>
  <c r="N87" i="1"/>
  <c r="D87" i="1"/>
  <c r="W87" i="1" s="1"/>
  <c r="Y86" i="1"/>
  <c r="X86" i="1"/>
  <c r="T86" i="1"/>
  <c r="S86" i="1"/>
  <c r="P86" i="1"/>
  <c r="W86" i="1" s="1"/>
  <c r="O86" i="1"/>
  <c r="V86" i="1" s="1"/>
  <c r="N86" i="1"/>
  <c r="Q86" i="1" s="1"/>
  <c r="D86" i="1"/>
  <c r="Y85" i="1"/>
  <c r="X85" i="1"/>
  <c r="T85" i="1"/>
  <c r="S85" i="1"/>
  <c r="P85" i="1"/>
  <c r="O85" i="1"/>
  <c r="V85" i="1" s="1"/>
  <c r="N85" i="1"/>
  <c r="Q85" i="1" s="1"/>
  <c r="D85" i="1"/>
  <c r="W85" i="1" s="1"/>
  <c r="Y84" i="1"/>
  <c r="X84" i="1"/>
  <c r="T84" i="1"/>
  <c r="S84" i="1"/>
  <c r="P84" i="1"/>
  <c r="O84" i="1"/>
  <c r="V84" i="1" s="1"/>
  <c r="N84" i="1"/>
  <c r="Q84" i="1" s="1"/>
  <c r="D84" i="1"/>
  <c r="W84" i="1" s="1"/>
  <c r="Y83" i="1"/>
  <c r="X83" i="1"/>
  <c r="T83" i="1"/>
  <c r="S83" i="1"/>
  <c r="P83" i="1"/>
  <c r="V83" i="1" s="1"/>
  <c r="O83" i="1"/>
  <c r="N83" i="1"/>
  <c r="Q83" i="1" s="1"/>
  <c r="D83" i="1"/>
  <c r="W83" i="1" s="1"/>
  <c r="Y82" i="1"/>
  <c r="X82" i="1"/>
  <c r="T82" i="1"/>
  <c r="S82" i="1"/>
  <c r="P82" i="1"/>
  <c r="O82" i="1"/>
  <c r="V82" i="1" s="1"/>
  <c r="N82" i="1"/>
  <c r="D82" i="1"/>
  <c r="W82" i="1" s="1"/>
  <c r="Y81" i="1"/>
  <c r="X81" i="1"/>
  <c r="W81" i="1"/>
  <c r="T81" i="1"/>
  <c r="S81" i="1"/>
  <c r="P81" i="1"/>
  <c r="V81" i="1" s="1"/>
  <c r="O81" i="1"/>
  <c r="N81" i="1"/>
  <c r="Q81" i="1" s="1"/>
  <c r="D81" i="1"/>
  <c r="Y80" i="1"/>
  <c r="X80" i="1"/>
  <c r="W80" i="1"/>
  <c r="T80" i="1"/>
  <c r="S80" i="1"/>
  <c r="P80" i="1"/>
  <c r="O80" i="1"/>
  <c r="Q80" i="1" s="1"/>
  <c r="N80" i="1"/>
  <c r="D80" i="1"/>
  <c r="Y79" i="1"/>
  <c r="X79" i="1"/>
  <c r="W79" i="1"/>
  <c r="V79" i="1"/>
  <c r="T79" i="1"/>
  <c r="S79" i="1"/>
  <c r="P79" i="1"/>
  <c r="O79" i="1"/>
  <c r="N79" i="1"/>
  <c r="Q79" i="1" s="1"/>
  <c r="D79" i="1"/>
  <c r="Y78" i="1"/>
  <c r="X78" i="1"/>
  <c r="W78" i="1"/>
  <c r="V78" i="1"/>
  <c r="T78" i="1"/>
  <c r="S78" i="1"/>
  <c r="P78" i="1"/>
  <c r="O78" i="1"/>
  <c r="N78" i="1"/>
  <c r="Q78" i="1" s="1"/>
  <c r="D78" i="1"/>
  <c r="Y77" i="1"/>
  <c r="X77" i="1"/>
  <c r="W77" i="1"/>
  <c r="V77" i="1"/>
  <c r="T77" i="1"/>
  <c r="S77" i="1"/>
  <c r="Q77" i="1"/>
  <c r="P77" i="1"/>
  <c r="O77" i="1"/>
  <c r="N77" i="1"/>
  <c r="Y76" i="1"/>
  <c r="X76" i="1"/>
  <c r="T76" i="1"/>
  <c r="S76" i="1"/>
  <c r="P76" i="1"/>
  <c r="O76" i="1"/>
  <c r="Q76" i="1" s="1"/>
  <c r="N76" i="1"/>
  <c r="D76" i="1"/>
  <c r="W76" i="1" s="1"/>
  <c r="Y75" i="1"/>
  <c r="X75" i="1"/>
  <c r="T75" i="1"/>
  <c r="S75" i="1"/>
  <c r="P75" i="1"/>
  <c r="W75" i="1" s="1"/>
  <c r="O75" i="1"/>
  <c r="V75" i="1" s="1"/>
  <c r="N75" i="1"/>
  <c r="Q75" i="1" s="1"/>
  <c r="D75" i="1"/>
  <c r="Y74" i="1"/>
  <c r="X74" i="1"/>
  <c r="T74" i="1"/>
  <c r="S74" i="1"/>
  <c r="P74" i="1"/>
  <c r="O74" i="1"/>
  <c r="V74" i="1" s="1"/>
  <c r="N74" i="1"/>
  <c r="Q74" i="1" s="1"/>
  <c r="D74" i="1"/>
  <c r="W74" i="1" s="1"/>
  <c r="Y73" i="1"/>
  <c r="X73" i="1"/>
  <c r="W73" i="1"/>
  <c r="T73" i="1"/>
  <c r="S73" i="1"/>
  <c r="P73" i="1"/>
  <c r="O73" i="1"/>
  <c r="V73" i="1" s="1"/>
  <c r="N73" i="1"/>
  <c r="Q73" i="1" s="1"/>
  <c r="Y72" i="1"/>
  <c r="X72" i="1"/>
  <c r="T72" i="1"/>
  <c r="S72" i="1"/>
  <c r="P72" i="1"/>
  <c r="O72" i="1"/>
  <c r="V72" i="1" s="1"/>
  <c r="N72" i="1"/>
  <c r="D72" i="1"/>
  <c r="W72" i="1" s="1"/>
  <c r="Y71" i="1"/>
  <c r="X71" i="1"/>
  <c r="W71" i="1"/>
  <c r="T71" i="1"/>
  <c r="S71" i="1"/>
  <c r="P71" i="1"/>
  <c r="V71" i="1" s="1"/>
  <c r="O71" i="1"/>
  <c r="N71" i="1"/>
  <c r="Q71" i="1" s="1"/>
  <c r="D71" i="1"/>
  <c r="Y70" i="1"/>
  <c r="X70" i="1"/>
  <c r="W70" i="1"/>
  <c r="V70" i="1"/>
  <c r="T70" i="1"/>
  <c r="S70" i="1"/>
  <c r="P70" i="1"/>
  <c r="O70" i="1"/>
  <c r="Q70" i="1" s="1"/>
  <c r="N70" i="1"/>
  <c r="D70" i="1"/>
  <c r="Y69" i="1"/>
  <c r="X69" i="1"/>
  <c r="W69" i="1"/>
  <c r="V69" i="1"/>
  <c r="T69" i="1"/>
  <c r="S69" i="1"/>
  <c r="P69" i="1"/>
  <c r="O69" i="1"/>
  <c r="N69" i="1"/>
  <c r="Q69" i="1" s="1"/>
  <c r="D69" i="1"/>
  <c r="Y68" i="1"/>
  <c r="X68" i="1"/>
  <c r="W68" i="1"/>
  <c r="V68" i="1"/>
  <c r="T68" i="1"/>
  <c r="S68" i="1"/>
  <c r="P68" i="1"/>
  <c r="O68" i="1"/>
  <c r="N68" i="1"/>
  <c r="Q68" i="1" s="1"/>
  <c r="D68" i="1"/>
  <c r="Y67" i="1"/>
  <c r="X67" i="1"/>
  <c r="W67" i="1"/>
  <c r="V67" i="1"/>
  <c r="T67" i="1"/>
  <c r="S67" i="1"/>
  <c r="Q67" i="1"/>
  <c r="P67" i="1"/>
  <c r="O67" i="1"/>
  <c r="N67" i="1"/>
  <c r="Y66" i="1"/>
  <c r="X66" i="1"/>
  <c r="T66" i="1"/>
  <c r="S66" i="1"/>
  <c r="P66" i="1"/>
  <c r="O66" i="1"/>
  <c r="Q66" i="1" s="1"/>
  <c r="N66" i="1"/>
  <c r="D66" i="1"/>
  <c r="W66" i="1" s="1"/>
  <c r="Y65" i="1"/>
  <c r="X65" i="1"/>
  <c r="T65" i="1"/>
  <c r="S65" i="1"/>
  <c r="P65" i="1"/>
  <c r="W65" i="1" s="1"/>
  <c r="O65" i="1"/>
  <c r="V65" i="1" s="1"/>
  <c r="N65" i="1"/>
  <c r="Q65" i="1" s="1"/>
  <c r="D65" i="1"/>
  <c r="Y64" i="1"/>
  <c r="X64" i="1"/>
  <c r="W64" i="1"/>
  <c r="T64" i="1"/>
  <c r="S64" i="1"/>
  <c r="P64" i="1"/>
  <c r="O64" i="1"/>
  <c r="V64" i="1" s="1"/>
  <c r="N64" i="1"/>
  <c r="Q64" i="1" s="1"/>
  <c r="Y63" i="1"/>
  <c r="X63" i="1"/>
  <c r="T63" i="1"/>
  <c r="S63" i="1"/>
  <c r="P63" i="1"/>
  <c r="V63" i="1" s="1"/>
  <c r="O63" i="1"/>
  <c r="N63" i="1"/>
  <c r="Q63" i="1" s="1"/>
  <c r="D63" i="1"/>
  <c r="W63" i="1" s="1"/>
  <c r="Y62" i="1"/>
  <c r="X62" i="1"/>
  <c r="T62" i="1"/>
  <c r="S62" i="1"/>
  <c r="P62" i="1"/>
  <c r="O62" i="1"/>
  <c r="V62" i="1" s="1"/>
  <c r="N62" i="1"/>
  <c r="D62" i="1"/>
  <c r="W62" i="1" s="1"/>
  <c r="Y61" i="1"/>
  <c r="X61" i="1"/>
  <c r="W61" i="1"/>
  <c r="T61" i="1"/>
  <c r="S61" i="1"/>
  <c r="P61" i="1"/>
  <c r="V61" i="1" s="1"/>
  <c r="O61" i="1"/>
  <c r="N61" i="1"/>
  <c r="Q61" i="1" s="1"/>
  <c r="D61" i="1"/>
  <c r="Y60" i="1"/>
  <c r="X60" i="1"/>
  <c r="W60" i="1"/>
  <c r="V60" i="1"/>
  <c r="T60" i="1"/>
  <c r="S60" i="1"/>
  <c r="P60" i="1"/>
  <c r="O60" i="1"/>
  <c r="Q60" i="1" s="1"/>
  <c r="N60" i="1"/>
  <c r="D60" i="1"/>
  <c r="Y59" i="1"/>
  <c r="X59" i="1"/>
  <c r="W59" i="1"/>
  <c r="V59" i="1"/>
  <c r="T59" i="1"/>
  <c r="S59" i="1"/>
  <c r="P59" i="1"/>
  <c r="O59" i="1"/>
  <c r="N59" i="1"/>
  <c r="Q59" i="1" s="1"/>
  <c r="D59" i="1"/>
  <c r="Y58" i="1"/>
  <c r="X58" i="1"/>
  <c r="W58" i="1"/>
  <c r="V58" i="1"/>
  <c r="T58" i="1"/>
  <c r="S58" i="1"/>
  <c r="P58" i="1"/>
  <c r="O58" i="1"/>
  <c r="N58" i="1"/>
  <c r="D58" i="1"/>
  <c r="Q58" i="1" s="1"/>
  <c r="Y57" i="1"/>
  <c r="X57" i="1"/>
  <c r="W57" i="1"/>
  <c r="V57" i="1"/>
  <c r="T57" i="1"/>
  <c r="S57" i="1"/>
  <c r="Q57" i="1"/>
  <c r="P57" i="1"/>
  <c r="O57" i="1"/>
  <c r="N57" i="1"/>
  <c r="D57" i="1"/>
  <c r="Y56" i="1"/>
  <c r="X56" i="1"/>
  <c r="T56" i="1"/>
  <c r="S56" i="1"/>
  <c r="P56" i="1"/>
  <c r="Q56" i="1" s="1"/>
  <c r="O56" i="1"/>
  <c r="N56" i="1"/>
  <c r="D56" i="1"/>
  <c r="Y55" i="1"/>
  <c r="X55" i="1"/>
  <c r="T55" i="1"/>
  <c r="S55" i="1"/>
  <c r="P55" i="1"/>
  <c r="O55" i="1"/>
  <c r="Q55" i="1" s="1"/>
  <c r="N55" i="1"/>
  <c r="D55" i="1"/>
  <c r="W55" i="1" s="1"/>
  <c r="Y54" i="1"/>
  <c r="X54" i="1"/>
  <c r="T54" i="1"/>
  <c r="S54" i="1"/>
  <c r="P54" i="1"/>
  <c r="W54" i="1" s="1"/>
  <c r="O54" i="1"/>
  <c r="V54" i="1" s="1"/>
  <c r="N54" i="1"/>
  <c r="Q54" i="1" s="1"/>
  <c r="D54" i="1"/>
  <c r="Y53" i="1"/>
  <c r="X53" i="1"/>
  <c r="T53" i="1"/>
  <c r="S53" i="1"/>
  <c r="P53" i="1"/>
  <c r="O53" i="1"/>
  <c r="V53" i="1" s="1"/>
  <c r="N53" i="1"/>
  <c r="D53" i="1"/>
  <c r="W53" i="1" s="1"/>
  <c r="Y52" i="1"/>
  <c r="X52" i="1"/>
  <c r="T52" i="1"/>
  <c r="S52" i="1"/>
  <c r="P52" i="1"/>
  <c r="O52" i="1"/>
  <c r="V52" i="1" s="1"/>
  <c r="N52" i="1"/>
  <c r="D52" i="1"/>
  <c r="W52" i="1" s="1"/>
  <c r="Y51" i="1"/>
  <c r="X51" i="1"/>
  <c r="T51" i="1"/>
  <c r="S51" i="1"/>
  <c r="P51" i="1"/>
  <c r="V51" i="1" s="1"/>
  <c r="O51" i="1"/>
  <c r="N51" i="1"/>
  <c r="D51" i="1"/>
  <c r="W51" i="1" s="1"/>
  <c r="Y50" i="1"/>
  <c r="X50" i="1"/>
  <c r="T50" i="1"/>
  <c r="S50" i="1"/>
  <c r="P50" i="1"/>
  <c r="O50" i="1"/>
  <c r="V50" i="1" s="1"/>
  <c r="N50" i="1"/>
  <c r="D50" i="1"/>
  <c r="W50" i="1" s="1"/>
  <c r="Y49" i="1"/>
  <c r="X49" i="1"/>
  <c r="W49" i="1"/>
  <c r="T49" i="1"/>
  <c r="S49" i="1"/>
  <c r="P49" i="1"/>
  <c r="V49" i="1" s="1"/>
  <c r="O49" i="1"/>
  <c r="N49" i="1"/>
  <c r="D49" i="1"/>
  <c r="Q49" i="1" s="1"/>
  <c r="Y48" i="1"/>
  <c r="X48" i="1"/>
  <c r="W48" i="1"/>
  <c r="V48" i="1"/>
  <c r="T48" i="1"/>
  <c r="S48" i="1"/>
  <c r="P48" i="1"/>
  <c r="O48" i="1"/>
  <c r="N48" i="1"/>
  <c r="D48" i="1"/>
  <c r="Q48" i="1" s="1"/>
  <c r="Y47" i="1"/>
  <c r="X47" i="1"/>
  <c r="W47" i="1"/>
  <c r="V47" i="1"/>
  <c r="T47" i="1"/>
  <c r="S47" i="1"/>
  <c r="P47" i="1"/>
  <c r="O47" i="1"/>
  <c r="N47" i="1"/>
  <c r="Q47" i="1" s="1"/>
  <c r="D47" i="1"/>
  <c r="Y46" i="1"/>
  <c r="X46" i="1"/>
  <c r="W46" i="1"/>
  <c r="V46" i="1"/>
  <c r="T46" i="1"/>
  <c r="S46" i="1"/>
  <c r="P46" i="1"/>
  <c r="O46" i="1"/>
  <c r="N46" i="1"/>
  <c r="D46" i="1"/>
  <c r="Q46" i="1" s="1"/>
  <c r="Y45" i="1"/>
  <c r="X45" i="1"/>
  <c r="W45" i="1"/>
  <c r="V45" i="1"/>
  <c r="T45" i="1"/>
  <c r="S45" i="1"/>
  <c r="Q45" i="1"/>
  <c r="P45" i="1"/>
  <c r="O45" i="1"/>
  <c r="N45" i="1"/>
  <c r="D45" i="1"/>
  <c r="Y44" i="1"/>
  <c r="X44" i="1"/>
  <c r="T44" i="1"/>
  <c r="S44" i="1"/>
  <c r="P44" i="1"/>
  <c r="W44" i="1" s="1"/>
  <c r="O44" i="1"/>
  <c r="N44" i="1"/>
  <c r="D44" i="1"/>
  <c r="Y43" i="1"/>
  <c r="X43" i="1"/>
  <c r="T43" i="1"/>
  <c r="S43" i="1"/>
  <c r="P43" i="1"/>
  <c r="O43" i="1"/>
  <c r="V43" i="1" s="1"/>
  <c r="N43" i="1"/>
  <c r="D43" i="1"/>
  <c r="W43" i="1" s="1"/>
  <c r="Y42" i="1"/>
  <c r="X42" i="1"/>
  <c r="W42" i="1"/>
  <c r="T42" i="1"/>
  <c r="S42" i="1"/>
  <c r="P42" i="1"/>
  <c r="O42" i="1"/>
  <c r="V42" i="1" s="1"/>
  <c r="N42" i="1"/>
  <c r="Q42" i="1" s="1"/>
  <c r="Y41" i="1"/>
  <c r="X41" i="1"/>
  <c r="W41" i="1"/>
  <c r="T41" i="1"/>
  <c r="S41" i="1"/>
  <c r="P41" i="1"/>
  <c r="O41" i="1"/>
  <c r="V41" i="1" s="1"/>
  <c r="N41" i="1"/>
  <c r="Q41" i="1" s="1"/>
  <c r="Y40" i="1"/>
  <c r="X40" i="1"/>
  <c r="T40" i="1"/>
  <c r="S40" i="1"/>
  <c r="P40" i="1"/>
  <c r="O40" i="1"/>
  <c r="Q40" i="1" s="1"/>
  <c r="N40" i="1"/>
  <c r="D40" i="1"/>
  <c r="W40" i="1" s="1"/>
  <c r="Y39" i="1"/>
  <c r="X39" i="1"/>
  <c r="W39" i="1"/>
  <c r="T39" i="1"/>
  <c r="S39" i="1"/>
  <c r="P39" i="1"/>
  <c r="V39" i="1" s="1"/>
  <c r="O39" i="1"/>
  <c r="N39" i="1"/>
  <c r="Q39" i="1" s="1"/>
  <c r="D39" i="1"/>
  <c r="Y38" i="1"/>
  <c r="X38" i="1"/>
  <c r="W38" i="1"/>
  <c r="V38" i="1"/>
  <c r="T38" i="1"/>
  <c r="S38" i="1"/>
  <c r="P38" i="1"/>
  <c r="O38" i="1"/>
  <c r="Q38" i="1" s="1"/>
  <c r="N38" i="1"/>
  <c r="D38" i="1"/>
  <c r="Y37" i="1"/>
  <c r="X37" i="1"/>
  <c r="W37" i="1"/>
  <c r="V37" i="1"/>
  <c r="T37" i="1"/>
  <c r="S37" i="1"/>
  <c r="P37" i="1"/>
  <c r="O37" i="1"/>
  <c r="N37" i="1"/>
  <c r="Q37" i="1" s="1"/>
  <c r="D37" i="1"/>
  <c r="Y36" i="1"/>
  <c r="X36" i="1"/>
  <c r="W36" i="1"/>
  <c r="V36" i="1"/>
  <c r="T36" i="1"/>
  <c r="S36" i="1"/>
  <c r="P36" i="1"/>
  <c r="O36" i="1"/>
  <c r="N36" i="1"/>
  <c r="Q36" i="1" s="1"/>
  <c r="D36" i="1"/>
  <c r="Y35" i="1"/>
  <c r="X35" i="1"/>
  <c r="W35" i="1"/>
  <c r="V35" i="1"/>
  <c r="T35" i="1"/>
  <c r="S35" i="1"/>
  <c r="Q35" i="1"/>
  <c r="P35" i="1"/>
  <c r="O35" i="1"/>
  <c r="N35" i="1"/>
  <c r="D35" i="1"/>
  <c r="Y34" i="1"/>
  <c r="X34" i="1"/>
  <c r="W34" i="1"/>
  <c r="V34" i="1"/>
  <c r="T34" i="1"/>
  <c r="S34" i="1"/>
  <c r="Q34" i="1"/>
  <c r="Y33" i="1"/>
  <c r="X33" i="1"/>
  <c r="T33" i="1"/>
  <c r="S33" i="1"/>
  <c r="P33" i="1"/>
  <c r="O33" i="1"/>
  <c r="V33" i="1" s="1"/>
  <c r="N33" i="1"/>
  <c r="D33" i="1"/>
  <c r="W33" i="1" s="1"/>
  <c r="Y32" i="1"/>
  <c r="X32" i="1"/>
  <c r="W32" i="1"/>
  <c r="T32" i="1"/>
  <c r="S32" i="1"/>
  <c r="P32" i="1"/>
  <c r="V32" i="1" s="1"/>
  <c r="O32" i="1"/>
  <c r="Y31" i="1"/>
  <c r="X31" i="1"/>
  <c r="W31" i="1"/>
  <c r="V31" i="1"/>
  <c r="T31" i="1"/>
  <c r="S31" i="1"/>
  <c r="P31" i="1"/>
  <c r="O31" i="1"/>
  <c r="N31" i="1"/>
  <c r="Q31" i="1" s="1"/>
  <c r="D31" i="1"/>
  <c r="Y30" i="1"/>
  <c r="X30" i="1"/>
  <c r="W30" i="1"/>
  <c r="V30" i="1"/>
  <c r="T30" i="1"/>
  <c r="S30" i="1"/>
  <c r="Q30" i="1"/>
  <c r="P30" i="1"/>
  <c r="O30" i="1"/>
  <c r="N30" i="1"/>
  <c r="D30" i="1"/>
  <c r="Y29" i="1"/>
  <c r="X29" i="1"/>
  <c r="W29" i="1"/>
  <c r="V29" i="1"/>
  <c r="T29" i="1"/>
  <c r="S29" i="1"/>
  <c r="P29" i="1"/>
  <c r="Q29" i="1" s="1"/>
  <c r="O29" i="1"/>
  <c r="N29" i="1"/>
  <c r="Y28" i="1"/>
  <c r="X28" i="1"/>
  <c r="T28" i="1"/>
  <c r="S28" i="1"/>
  <c r="P28" i="1"/>
  <c r="W28" i="1" s="1"/>
  <c r="O28" i="1"/>
  <c r="V28" i="1" s="1"/>
  <c r="N28" i="1"/>
  <c r="Q28" i="1" s="1"/>
  <c r="D28" i="1"/>
  <c r="Y27" i="1"/>
  <c r="X27" i="1"/>
  <c r="T27" i="1"/>
  <c r="S27" i="1"/>
  <c r="P27" i="1"/>
  <c r="O27" i="1"/>
  <c r="V27" i="1" s="1"/>
  <c r="N27" i="1"/>
  <c r="Q27" i="1" s="1"/>
  <c r="D27" i="1"/>
  <c r="W27" i="1" s="1"/>
  <c r="Y26" i="1"/>
  <c r="X26" i="1"/>
  <c r="T26" i="1"/>
  <c r="S26" i="1"/>
  <c r="P26" i="1"/>
  <c r="O26" i="1"/>
  <c r="V26" i="1" s="1"/>
  <c r="N26" i="1"/>
  <c r="Q26" i="1" s="1"/>
  <c r="D26" i="1"/>
  <c r="W26" i="1" s="1"/>
  <c r="Y25" i="1"/>
  <c r="X25" i="1"/>
  <c r="W25" i="1"/>
  <c r="T25" i="1"/>
  <c r="S25" i="1"/>
  <c r="P25" i="1"/>
  <c r="V25" i="1" s="1"/>
  <c r="O25" i="1"/>
  <c r="N25" i="1"/>
  <c r="Q25" i="1" s="1"/>
  <c r="Y24" i="1"/>
  <c r="X24" i="1"/>
  <c r="W24" i="1"/>
  <c r="T24" i="1"/>
  <c r="S24" i="1"/>
  <c r="P24" i="1"/>
  <c r="V24" i="1" s="1"/>
  <c r="O24" i="1"/>
  <c r="N24" i="1"/>
  <c r="Q24" i="1" s="1"/>
  <c r="D24" i="1"/>
  <c r="Y23" i="1"/>
  <c r="X23" i="1"/>
  <c r="W23" i="1"/>
  <c r="V23" i="1"/>
  <c r="T23" i="1"/>
  <c r="S23" i="1"/>
  <c r="P23" i="1"/>
  <c r="O23" i="1"/>
  <c r="Q23" i="1" s="1"/>
  <c r="N23" i="1"/>
  <c r="Y22" i="1"/>
  <c r="X22" i="1"/>
  <c r="W22" i="1"/>
  <c r="V22" i="1"/>
  <c r="T22" i="1"/>
  <c r="S22" i="1"/>
  <c r="P22" i="1"/>
  <c r="O22" i="1"/>
  <c r="N22" i="1"/>
  <c r="Q22" i="1" s="1"/>
  <c r="D22" i="1"/>
  <c r="Y21" i="1"/>
  <c r="X21" i="1"/>
  <c r="W21" i="1"/>
  <c r="V21" i="1"/>
  <c r="T21" i="1"/>
  <c r="S21" i="1"/>
  <c r="Q21" i="1"/>
  <c r="P21" i="1"/>
  <c r="O21" i="1"/>
  <c r="N21" i="1"/>
  <c r="D21" i="1"/>
  <c r="Y20" i="1"/>
  <c r="X20" i="1"/>
  <c r="T20" i="1"/>
  <c r="S20" i="1"/>
  <c r="P20" i="1"/>
  <c r="Q20" i="1" s="1"/>
  <c r="O20" i="1"/>
  <c r="N20" i="1"/>
  <c r="D20" i="1"/>
  <c r="Y19" i="1"/>
  <c r="X19" i="1"/>
  <c r="T19" i="1"/>
  <c r="S19" i="1"/>
  <c r="P19" i="1"/>
  <c r="O19" i="1"/>
  <c r="V19" i="1" s="1"/>
  <c r="N19" i="1"/>
  <c r="D19" i="1"/>
  <c r="W19" i="1" s="1"/>
  <c r="Y18" i="1"/>
  <c r="X18" i="1"/>
  <c r="V18" i="1"/>
  <c r="T18" i="1"/>
  <c r="S18" i="1"/>
  <c r="Q18" i="1"/>
  <c r="D18" i="1"/>
  <c r="W18" i="1" s="1"/>
  <c r="Y17" i="1"/>
  <c r="X17" i="1"/>
  <c r="T17" i="1"/>
  <c r="S17" i="1"/>
  <c r="P17" i="1"/>
  <c r="O17" i="1"/>
  <c r="V17" i="1" s="1"/>
  <c r="N17" i="1"/>
  <c r="D17" i="1"/>
  <c r="W17" i="1" s="1"/>
  <c r="Y16" i="1"/>
  <c r="X16" i="1"/>
  <c r="W16" i="1"/>
  <c r="T16" i="1"/>
  <c r="S16" i="1"/>
  <c r="P16" i="1"/>
  <c r="V16" i="1" s="1"/>
  <c r="O16" i="1"/>
  <c r="N16" i="1"/>
  <c r="Q16" i="1" s="1"/>
  <c r="D16" i="1"/>
  <c r="Y15" i="1"/>
  <c r="X15" i="1"/>
  <c r="W15" i="1"/>
  <c r="V15" i="1"/>
  <c r="T15" i="1"/>
  <c r="S15" i="1"/>
  <c r="P15" i="1"/>
  <c r="O15" i="1"/>
  <c r="Q15" i="1" s="1"/>
  <c r="N15" i="1"/>
  <c r="D15" i="1"/>
  <c r="Y14" i="1"/>
  <c r="X14" i="1"/>
  <c r="W14" i="1"/>
  <c r="V14" i="1"/>
  <c r="T14" i="1"/>
  <c r="S14" i="1"/>
  <c r="P14" i="1"/>
  <c r="O14" i="1"/>
  <c r="N14" i="1"/>
  <c r="Q14" i="1" s="1"/>
  <c r="D14" i="1"/>
  <c r="Y13" i="1"/>
  <c r="X13" i="1"/>
  <c r="W13" i="1"/>
  <c r="V13" i="1"/>
  <c r="T13" i="1"/>
  <c r="S13" i="1"/>
  <c r="P13" i="1"/>
  <c r="O13" i="1"/>
  <c r="N13" i="1"/>
  <c r="Q13" i="1" s="1"/>
  <c r="D13" i="1"/>
  <c r="Y12" i="1"/>
  <c r="X12" i="1"/>
  <c r="W12" i="1"/>
  <c r="V12" i="1"/>
  <c r="T12" i="1"/>
  <c r="S12" i="1"/>
  <c r="Q12" i="1"/>
  <c r="P12" i="1"/>
  <c r="O12" i="1"/>
  <c r="N12" i="1"/>
  <c r="D12" i="1"/>
  <c r="Y11" i="1"/>
  <c r="X11" i="1"/>
  <c r="T11" i="1"/>
  <c r="S11" i="1"/>
  <c r="P11" i="1"/>
  <c r="Q11" i="1" s="1"/>
  <c r="O11" i="1"/>
  <c r="N11" i="1"/>
  <c r="D11" i="1"/>
  <c r="Y10" i="1"/>
  <c r="X10" i="1"/>
  <c r="T10" i="1"/>
  <c r="S10" i="1"/>
  <c r="P10" i="1"/>
  <c r="O10" i="1"/>
  <c r="Q10" i="1" s="1"/>
  <c r="N10" i="1"/>
  <c r="D10" i="1"/>
  <c r="W10" i="1" s="1"/>
  <c r="Y9" i="1"/>
  <c r="X9" i="1"/>
  <c r="T9" i="1"/>
  <c r="S9" i="1"/>
  <c r="P9" i="1"/>
  <c r="W9" i="1" s="1"/>
  <c r="O9" i="1"/>
  <c r="V9" i="1" s="1"/>
  <c r="N9" i="1"/>
  <c r="Q9" i="1" s="1"/>
  <c r="D9" i="1"/>
  <c r="Y8" i="1"/>
  <c r="X8" i="1"/>
  <c r="T8" i="1"/>
  <c r="S8" i="1"/>
  <c r="P8" i="1"/>
  <c r="O8" i="1"/>
  <c r="V8" i="1" s="1"/>
  <c r="N8" i="1"/>
  <c r="Q8" i="1" s="1"/>
  <c r="D8" i="1"/>
  <c r="W8" i="1" s="1"/>
  <c r="Y7" i="1"/>
  <c r="X7" i="1"/>
  <c r="T7" i="1"/>
  <c r="S7" i="1"/>
  <c r="P7" i="1"/>
  <c r="O7" i="1"/>
  <c r="V7" i="1" s="1"/>
  <c r="N7" i="1"/>
  <c r="Q7" i="1" s="1"/>
  <c r="D7" i="1"/>
  <c r="W7" i="1" s="1"/>
  <c r="Y6" i="1"/>
  <c r="X6" i="1"/>
  <c r="T6" i="1"/>
  <c r="S6" i="1"/>
  <c r="P6" i="1"/>
  <c r="V6" i="1" s="1"/>
  <c r="O6" i="1"/>
  <c r="N6" i="1"/>
  <c r="Q6" i="1" s="1"/>
  <c r="D6" i="1"/>
  <c r="W6" i="1" s="1"/>
  <c r="Y5" i="1"/>
  <c r="X5" i="1"/>
  <c r="T5" i="1"/>
  <c r="S5" i="1"/>
  <c r="P5" i="1"/>
  <c r="O5" i="1"/>
  <c r="V5" i="1" s="1"/>
  <c r="N5" i="1"/>
  <c r="D5" i="1"/>
  <c r="W5" i="1" s="1"/>
  <c r="Y4" i="1"/>
  <c r="X4" i="1"/>
  <c r="W4" i="1"/>
  <c r="T4" i="1"/>
  <c r="S4" i="1"/>
  <c r="P4" i="1"/>
  <c r="V4" i="1" s="1"/>
  <c r="O4" i="1"/>
  <c r="N4" i="1"/>
  <c r="Q4" i="1" s="1"/>
  <c r="D4" i="1"/>
  <c r="Y3" i="1"/>
  <c r="X3" i="1"/>
  <c r="W3" i="1"/>
  <c r="V3" i="1"/>
  <c r="T3" i="1"/>
  <c r="S3" i="1"/>
  <c r="P3" i="1"/>
  <c r="O3" i="1"/>
  <c r="Q3" i="1" s="1"/>
  <c r="N3" i="1"/>
  <c r="Q87" i="1" l="1"/>
  <c r="V11" i="1"/>
  <c r="V20" i="1"/>
  <c r="V44" i="1"/>
  <c r="Q53" i="1"/>
  <c r="V56" i="1"/>
  <c r="V80" i="1"/>
  <c r="Q44" i="1"/>
  <c r="Q19" i="1"/>
  <c r="Q43" i="1"/>
  <c r="V10" i="1"/>
  <c r="W11" i="1"/>
  <c r="W20" i="1"/>
  <c r="Q52" i="1"/>
  <c r="V55" i="1"/>
  <c r="W56" i="1"/>
  <c r="V66" i="1"/>
  <c r="V76" i="1"/>
  <c r="W88" i="1"/>
  <c r="Q51" i="1"/>
  <c r="Q82" i="1"/>
  <c r="Q93" i="1"/>
  <c r="Q50" i="1"/>
  <c r="Q62" i="1"/>
  <c r="Q72" i="1"/>
  <c r="Q32" i="1"/>
  <c r="Q5" i="1"/>
  <c r="Q17" i="1"/>
  <c r="V40" i="1"/>
</calcChain>
</file>

<file path=xl/sharedStrings.xml><?xml version="1.0" encoding="utf-8"?>
<sst xmlns="http://schemas.openxmlformats.org/spreadsheetml/2006/main" count="418" uniqueCount="164">
  <si>
    <t>CAR  SALES DATA -FY24 AND FY25</t>
  </si>
  <si>
    <t>Make</t>
  </si>
  <si>
    <t>Model</t>
  </si>
  <si>
    <t>STATUS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</si>
  <si>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</si>
  <si>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</si>
  <si>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</si>
  <si>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</si>
  <si>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</si>
  <si>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</si>
  <si>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</si>
  <si>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</si>
  <si>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</si>
  <si>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</si>
  <si>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</si>
  <si>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</si>
  <si>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</si>
  <si>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Total</t>
  </si>
  <si>
    <t>Segment</t>
  </si>
  <si>
    <t>FUEL TYPE</t>
  </si>
  <si>
    <t>ICE / EV</t>
  </si>
  <si>
    <t>Body</t>
  </si>
  <si>
    <t>MoM % -24-25</t>
  </si>
  <si>
    <t>YoY %-24-25</t>
  </si>
  <si>
    <t>MoM % -23-24</t>
  </si>
  <si>
    <t>YoY %-23-24</t>
  </si>
  <si>
    <t>Citroen</t>
  </si>
  <si>
    <t>Basalt</t>
  </si>
  <si>
    <t>LAUNCHED IN AUG-24</t>
  </si>
  <si>
    <t>C2</t>
  </si>
  <si>
    <t>SUV</t>
  </si>
  <si>
    <t>C3</t>
  </si>
  <si>
    <t>C1</t>
  </si>
  <si>
    <t>Hatchback</t>
  </si>
  <si>
    <t>Aircross</t>
  </si>
  <si>
    <t>C5 Aircross</t>
  </si>
  <si>
    <t>D2</t>
  </si>
  <si>
    <t>e-C3</t>
  </si>
  <si>
    <t>Honda</t>
  </si>
  <si>
    <t>Amaze</t>
  </si>
  <si>
    <t>Sedan</t>
  </si>
  <si>
    <t>City</t>
  </si>
  <si>
    <t>Elevate</t>
  </si>
  <si>
    <t>Hyundai</t>
  </si>
  <si>
    <t>Aura</t>
  </si>
  <si>
    <t>Alcazar</t>
  </si>
  <si>
    <t>MUV</t>
  </si>
  <si>
    <t>Creta</t>
  </si>
  <si>
    <t>Exter</t>
  </si>
  <si>
    <t xml:space="preserve">Grand i10 </t>
  </si>
  <si>
    <t>B2</t>
  </si>
  <si>
    <t>i20</t>
  </si>
  <si>
    <t>Ioniq 5</t>
  </si>
  <si>
    <t>Premium</t>
  </si>
  <si>
    <t>Kona</t>
  </si>
  <si>
    <t>DISCONTINUED INJUN-24</t>
  </si>
  <si>
    <t>Tucson</t>
  </si>
  <si>
    <t>Venue</t>
  </si>
  <si>
    <t>Verna</t>
  </si>
  <si>
    <t>Jeep</t>
  </si>
  <si>
    <t>Compass</t>
  </si>
  <si>
    <t>D1</t>
  </si>
  <si>
    <t>Grand Cherokee</t>
  </si>
  <si>
    <t>LAUNCHED IN NOV-22</t>
  </si>
  <si>
    <t>Meridian</t>
  </si>
  <si>
    <t>Wrangler</t>
  </si>
  <si>
    <t>LAUNCHED IN APR-24</t>
  </si>
  <si>
    <t>Kia</t>
  </si>
  <si>
    <t>Carens</t>
  </si>
  <si>
    <t>Utility</t>
  </si>
  <si>
    <t>Carnival</t>
  </si>
  <si>
    <t>LAUNCHED IN OCT-24</t>
  </si>
  <si>
    <t>EV6</t>
  </si>
  <si>
    <t>EV9</t>
  </si>
  <si>
    <t>Seltos</t>
  </si>
  <si>
    <t>Sonet</t>
  </si>
  <si>
    <t>Syros</t>
  </si>
  <si>
    <t>LAUNCHED IN FEB-25</t>
  </si>
  <si>
    <t>Mahindra</t>
  </si>
  <si>
    <t>Bolero</t>
  </si>
  <si>
    <t>KUV100</t>
  </si>
  <si>
    <t>DISCONTINUED IN APR-23</t>
  </si>
  <si>
    <t>Marazzo</t>
  </si>
  <si>
    <t>Scorpio</t>
  </si>
  <si>
    <t>Thar</t>
  </si>
  <si>
    <t>XUV300, XUV 3X0</t>
  </si>
  <si>
    <t>XUV400</t>
  </si>
  <si>
    <t>XUV700</t>
  </si>
  <si>
    <t>BE 6</t>
  </si>
  <si>
    <t>LAUNCHED IN NOV-24</t>
  </si>
  <si>
    <t>XEV 9e</t>
  </si>
  <si>
    <t>Maruti</t>
  </si>
  <si>
    <t>Alto</t>
  </si>
  <si>
    <t>A</t>
  </si>
  <si>
    <t>Baleno</t>
  </si>
  <si>
    <t>Brezza</t>
  </si>
  <si>
    <t>Celerio</t>
  </si>
  <si>
    <t>B1</t>
  </si>
  <si>
    <t>Ciaz</t>
  </si>
  <si>
    <t>Dzire</t>
  </si>
  <si>
    <t>Eeco</t>
  </si>
  <si>
    <t>Ertiga</t>
  </si>
  <si>
    <t>Fronx</t>
  </si>
  <si>
    <t>LAUNCHED IN APR-23</t>
  </si>
  <si>
    <t>Grand Vitara</t>
  </si>
  <si>
    <t>Ignis</t>
  </si>
  <si>
    <t>Invicto</t>
  </si>
  <si>
    <t>LAUNCHED IN JUL-23</t>
  </si>
  <si>
    <t>Jimny</t>
  </si>
  <si>
    <t>LAUNCHED IN JUN-24</t>
  </si>
  <si>
    <t>S-Presso</t>
  </si>
  <si>
    <t>Swift</t>
  </si>
  <si>
    <t>WagonR</t>
  </si>
  <si>
    <t>XL6</t>
  </si>
  <si>
    <t>MG</t>
  </si>
  <si>
    <t>Astor</t>
  </si>
  <si>
    <t>Comet</t>
  </si>
  <si>
    <t>Gloster</t>
  </si>
  <si>
    <t>Hector</t>
  </si>
  <si>
    <t>Windsor</t>
  </si>
  <si>
    <t>LAUNCHED IN SEP-24</t>
  </si>
  <si>
    <t>ZS EV</t>
  </si>
  <si>
    <t>Nissan</t>
  </si>
  <si>
    <t>Magnite</t>
  </si>
  <si>
    <t>X-Trail</t>
  </si>
  <si>
    <t>LAUNCHED IN  AUG-24</t>
  </si>
  <si>
    <t>Renault</t>
  </si>
  <si>
    <t>Kiger</t>
  </si>
  <si>
    <t>Kwid</t>
  </si>
  <si>
    <t>Triber</t>
  </si>
  <si>
    <t>Skoda</t>
  </si>
  <si>
    <t>Kodiaq</t>
  </si>
  <si>
    <t>Kushaq</t>
  </si>
  <si>
    <t>Kylaq</t>
  </si>
  <si>
    <t>LAUNCHED IN DEC-24</t>
  </si>
  <si>
    <t>Slavia</t>
  </si>
  <si>
    <t>Superb</t>
  </si>
  <si>
    <t>RELAUNCHED IN APR-24</t>
  </si>
  <si>
    <t>Tata</t>
  </si>
  <si>
    <t>Altroz</t>
  </si>
  <si>
    <t>Curvv</t>
  </si>
  <si>
    <t>Harrier</t>
  </si>
  <si>
    <t>Nexon</t>
  </si>
  <si>
    <t>Punch</t>
  </si>
  <si>
    <t>Safari</t>
  </si>
  <si>
    <t>Tiago</t>
  </si>
  <si>
    <t>Tigor</t>
  </si>
  <si>
    <t>Toyota</t>
  </si>
  <si>
    <t>Camry</t>
  </si>
  <si>
    <t>Fortuner</t>
  </si>
  <si>
    <t>Glanza</t>
  </si>
  <si>
    <t>Hilux</t>
  </si>
  <si>
    <t>Others</t>
  </si>
  <si>
    <t>Hyryder</t>
  </si>
  <si>
    <t>Innova Crysta, Innova Hycross</t>
  </si>
  <si>
    <t>Rumion</t>
  </si>
  <si>
    <t>LAUNCHED IN AUG-23</t>
  </si>
  <si>
    <t xml:space="preserve">
Utility</t>
  </si>
  <si>
    <t>Taisor</t>
  </si>
  <si>
    <t>Vellfire</t>
  </si>
  <si>
    <t>Volkswagen</t>
  </si>
  <si>
    <t>Taigun</t>
  </si>
  <si>
    <t>Tiguan</t>
  </si>
  <si>
    <t>Virtus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</si>
</sst>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4"/>
      <color rgb="FF00206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SM-PGDDSBA%20-QTR1\DVDM\DVDM%20PRESENTATION\CAR%20SALES-WORKING%20FOR%20FY24%20-FY25.xlsx" TargetMode="External"/><Relationship Id="rId1" Type="http://schemas.openxmlformats.org/officeDocument/2006/relationships/externalLinkPath" Target="CAR%20SALES-WORKING%20FOR%20FY24%20-FY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(CAR DATA SALES 2024"/>
      <sheetName val="Table76"/>
      <sheetName val="unpivoteed(24-25"/>
      <sheetName val="FY24-25 DATA (2)"/>
      <sheetName val="FY24-25 DATA"/>
      <sheetName val="duplicate fy24-25data"/>
      <sheetName val="fy23-25"/>
      <sheetName val="FY23-FY24 DATA"/>
      <sheetName val="CAR DATA SALES 2025"/>
      <sheetName val="WORKING"/>
    </sheetNames>
    <sheetDataSet>
      <sheetData sheetId="0">
        <row r="2">
          <cell r="B2" t="str">
            <v>Basalt</v>
          </cell>
          <cell r="C2">
            <v>0</v>
          </cell>
          <cell r="D2">
            <v>0</v>
          </cell>
          <cell r="E2">
            <v>0</v>
          </cell>
        </row>
        <row r="3">
          <cell r="B3" t="str">
            <v>C3</v>
          </cell>
          <cell r="C3">
            <v>234</v>
          </cell>
          <cell r="D3">
            <v>211</v>
          </cell>
          <cell r="E3">
            <v>265</v>
          </cell>
        </row>
        <row r="4">
          <cell r="B4" t="str">
            <v>Aircross</v>
          </cell>
          <cell r="C4">
            <v>231</v>
          </cell>
          <cell r="D4">
            <v>127</v>
          </cell>
          <cell r="E4">
            <v>211</v>
          </cell>
        </row>
        <row r="5">
          <cell r="B5" t="str">
            <v>C5 Aircross</v>
          </cell>
          <cell r="C5">
            <v>1</v>
          </cell>
          <cell r="D5">
            <v>0</v>
          </cell>
          <cell r="E5">
            <v>0</v>
          </cell>
        </row>
        <row r="6">
          <cell r="B6" t="str">
            <v>e-C3</v>
          </cell>
          <cell r="C6">
            <v>184</v>
          </cell>
          <cell r="D6">
            <v>83</v>
          </cell>
          <cell r="E6">
            <v>530</v>
          </cell>
        </row>
        <row r="7">
          <cell r="B7" t="str">
            <v>Amaze</v>
          </cell>
          <cell r="C7">
            <v>2972</v>
          </cell>
          <cell r="D7">
            <v>2774</v>
          </cell>
          <cell r="E7">
            <v>2678</v>
          </cell>
        </row>
        <row r="8">
          <cell r="B8" t="str">
            <v>City</v>
          </cell>
          <cell r="C8">
            <v>1123</v>
          </cell>
          <cell r="D8">
            <v>1184</v>
          </cell>
          <cell r="E8">
            <v>1116</v>
          </cell>
        </row>
        <row r="9">
          <cell r="B9" t="str">
            <v>Elevate</v>
          </cell>
          <cell r="C9">
            <v>4586</v>
          </cell>
          <cell r="D9">
            <v>3184</v>
          </cell>
          <cell r="E9">
            <v>3277</v>
          </cell>
        </row>
        <row r="10">
          <cell r="B10" t="str">
            <v>Aura</v>
          </cell>
          <cell r="C10">
            <v>5516</v>
          </cell>
          <cell r="D10">
            <v>5053</v>
          </cell>
          <cell r="E10">
            <v>4883</v>
          </cell>
        </row>
        <row r="11">
          <cell r="B11" t="str">
            <v>Alcazar</v>
          </cell>
          <cell r="C11">
            <v>1827</v>
          </cell>
          <cell r="D11">
            <v>1290</v>
          </cell>
          <cell r="E11">
            <v>1420</v>
          </cell>
        </row>
        <row r="12">
          <cell r="B12" t="str">
            <v>Creta</v>
          </cell>
          <cell r="C12">
            <v>13212</v>
          </cell>
          <cell r="D12">
            <v>15276</v>
          </cell>
          <cell r="E12">
            <v>16458</v>
          </cell>
        </row>
        <row r="13">
          <cell r="B13" t="str">
            <v>Exter</v>
          </cell>
          <cell r="C13">
            <v>8229</v>
          </cell>
          <cell r="D13">
            <v>7582</v>
          </cell>
          <cell r="E13">
            <v>8475</v>
          </cell>
        </row>
        <row r="14">
          <cell r="B14" t="str">
            <v xml:space="preserve">Grand i10 </v>
          </cell>
          <cell r="C14">
            <v>6865</v>
          </cell>
          <cell r="D14">
            <v>4947</v>
          </cell>
          <cell r="E14">
            <v>5034</v>
          </cell>
        </row>
        <row r="15">
          <cell r="B15" t="str">
            <v>i20</v>
          </cell>
          <cell r="C15">
            <v>7083</v>
          </cell>
          <cell r="D15">
            <v>5131</v>
          </cell>
          <cell r="E15">
            <v>5155</v>
          </cell>
        </row>
        <row r="16">
          <cell r="B16" t="str">
            <v>Ioniq 5</v>
          </cell>
          <cell r="C16">
            <v>95</v>
          </cell>
          <cell r="D16">
            <v>66</v>
          </cell>
          <cell r="E16">
            <v>65</v>
          </cell>
        </row>
        <row r="17">
          <cell r="B17" t="str">
            <v>Kona</v>
          </cell>
          <cell r="C17">
            <v>102</v>
          </cell>
          <cell r="D17">
            <v>86</v>
          </cell>
          <cell r="E17">
            <v>71</v>
          </cell>
        </row>
        <row r="18">
          <cell r="B18" t="str">
            <v>Tucson</v>
          </cell>
          <cell r="C18">
            <v>183</v>
          </cell>
          <cell r="D18">
            <v>157</v>
          </cell>
          <cell r="E18">
            <v>110</v>
          </cell>
        </row>
        <row r="19">
          <cell r="B19" t="str">
            <v>Venue</v>
          </cell>
          <cell r="C19">
            <v>11831</v>
          </cell>
          <cell r="D19">
            <v>8933</v>
          </cell>
          <cell r="E19">
            <v>9614</v>
          </cell>
        </row>
        <row r="20">
          <cell r="B20" t="str">
            <v>Verna</v>
          </cell>
          <cell r="C20">
            <v>2172</v>
          </cell>
          <cell r="D20">
            <v>1680</v>
          </cell>
          <cell r="E20">
            <v>1716</v>
          </cell>
        </row>
        <row r="21">
          <cell r="B21" t="str">
            <v>Compass</v>
          </cell>
          <cell r="C21">
            <v>286</v>
          </cell>
          <cell r="D21">
            <v>204</v>
          </cell>
          <cell r="E21">
            <v>329</v>
          </cell>
        </row>
        <row r="22">
          <cell r="B22" t="str">
            <v>Meridian</v>
          </cell>
          <cell r="C22">
            <v>110</v>
          </cell>
          <cell r="D22">
            <v>127</v>
          </cell>
          <cell r="E22">
            <v>96</v>
          </cell>
        </row>
        <row r="23">
          <cell r="B23" t="str">
            <v>Wrangler</v>
          </cell>
          <cell r="C23">
            <v>0</v>
          </cell>
          <cell r="D23">
            <v>0</v>
          </cell>
          <cell r="E23">
            <v>0</v>
          </cell>
        </row>
        <row r="24">
          <cell r="B24" t="str">
            <v>Carens</v>
          </cell>
          <cell r="C24">
            <v>5848</v>
          </cell>
          <cell r="D24">
            <v>4832</v>
          </cell>
          <cell r="E24">
            <v>4737</v>
          </cell>
        </row>
        <row r="25">
          <cell r="B25" t="str">
            <v>Carnival</v>
          </cell>
          <cell r="C25">
            <v>0</v>
          </cell>
          <cell r="D25">
            <v>0</v>
          </cell>
          <cell r="E25">
            <v>0</v>
          </cell>
        </row>
        <row r="26">
          <cell r="B26" t="str">
            <v>EV6</v>
          </cell>
          <cell r="C26">
            <v>0</v>
          </cell>
          <cell r="D26">
            <v>1</v>
          </cell>
          <cell r="E26">
            <v>1</v>
          </cell>
        </row>
        <row r="27">
          <cell r="B27" t="str">
            <v>Seltos</v>
          </cell>
          <cell r="C27">
            <v>6391</v>
          </cell>
          <cell r="D27">
            <v>6265</v>
          </cell>
          <cell r="E27">
            <v>7912</v>
          </cell>
        </row>
        <row r="28">
          <cell r="B28" t="str">
            <v>Sonet</v>
          </cell>
          <cell r="C28">
            <v>11530</v>
          </cell>
          <cell r="D28">
            <v>9102</v>
          </cell>
          <cell r="E28">
            <v>8750</v>
          </cell>
        </row>
        <row r="29">
          <cell r="B29" t="str">
            <v>Bolero</v>
          </cell>
          <cell r="C29">
            <v>9964</v>
          </cell>
          <cell r="D29">
            <v>10113</v>
          </cell>
          <cell r="E29">
            <v>10347</v>
          </cell>
        </row>
        <row r="30">
          <cell r="B30" t="str">
            <v>Marazzo</v>
          </cell>
          <cell r="C30">
            <v>32</v>
          </cell>
          <cell r="D30">
            <v>51</v>
          </cell>
          <cell r="E30">
            <v>51</v>
          </cell>
        </row>
        <row r="31">
          <cell r="B31" t="str">
            <v>Scorpio</v>
          </cell>
          <cell r="C31">
            <v>14293</v>
          </cell>
          <cell r="D31">
            <v>15051</v>
          </cell>
          <cell r="E31">
            <v>15151</v>
          </cell>
        </row>
        <row r="32">
          <cell r="B32" t="str">
            <v>Thar</v>
          </cell>
          <cell r="C32">
            <v>6059</v>
          </cell>
          <cell r="D32">
            <v>5812</v>
          </cell>
          <cell r="E32">
            <v>6049</v>
          </cell>
        </row>
        <row r="33">
          <cell r="B33" t="str">
            <v>XUV300, XUV 3X0</v>
          </cell>
          <cell r="C33">
            <v>4817</v>
          </cell>
          <cell r="D33">
            <v>4218</v>
          </cell>
          <cell r="E33">
            <v>2072</v>
          </cell>
        </row>
        <row r="34">
          <cell r="B34" t="str">
            <v>XUV400</v>
          </cell>
          <cell r="C34">
            <v>697</v>
          </cell>
          <cell r="D34">
            <v>610</v>
          </cell>
          <cell r="E34">
            <v>350</v>
          </cell>
        </row>
        <row r="35">
          <cell r="B35" t="str">
            <v>XUV700</v>
          </cell>
          <cell r="C35">
            <v>7206</v>
          </cell>
          <cell r="D35">
            <v>6546</v>
          </cell>
          <cell r="E35">
            <v>6611</v>
          </cell>
        </row>
        <row r="36">
          <cell r="B36" t="str">
            <v>Alto</v>
          </cell>
          <cell r="C36">
            <v>12395</v>
          </cell>
          <cell r="D36">
            <v>11723</v>
          </cell>
          <cell r="E36">
            <v>9332</v>
          </cell>
        </row>
        <row r="37">
          <cell r="B37" t="str">
            <v>Baleno</v>
          </cell>
          <cell r="C37">
            <v>19630</v>
          </cell>
          <cell r="D37">
            <v>17517</v>
          </cell>
          <cell r="E37">
            <v>15588</v>
          </cell>
        </row>
        <row r="38">
          <cell r="B38" t="str">
            <v>Brezza</v>
          </cell>
          <cell r="C38">
            <v>15303</v>
          </cell>
          <cell r="D38">
            <v>15765</v>
          </cell>
          <cell r="E38">
            <v>14614</v>
          </cell>
        </row>
        <row r="39">
          <cell r="B39" t="str">
            <v>Celerio</v>
          </cell>
          <cell r="C39">
            <v>4406</v>
          </cell>
          <cell r="D39">
            <v>3586</v>
          </cell>
          <cell r="E39">
            <v>3478</v>
          </cell>
        </row>
        <row r="40">
          <cell r="B40" t="str">
            <v>Ciaz</v>
          </cell>
          <cell r="C40">
            <v>363</v>
          </cell>
          <cell r="D40">
            <v>481</v>
          </cell>
          <cell r="E40">
            <v>590</v>
          </cell>
        </row>
        <row r="41">
          <cell r="B41" t="str">
            <v>Dzire</v>
          </cell>
          <cell r="C41">
            <v>16773</v>
          </cell>
          <cell r="D41">
            <v>15837</v>
          </cell>
          <cell r="E41">
            <v>15894</v>
          </cell>
        </row>
        <row r="42">
          <cell r="B42" t="str">
            <v>Eeco</v>
          </cell>
          <cell r="C42">
            <v>12019</v>
          </cell>
          <cell r="D42">
            <v>12147</v>
          </cell>
          <cell r="E42">
            <v>12019</v>
          </cell>
        </row>
        <row r="43">
          <cell r="B43" t="str">
            <v>Ertiga</v>
          </cell>
          <cell r="C43">
            <v>14632</v>
          </cell>
          <cell r="D43">
            <v>15519</v>
          </cell>
          <cell r="E43">
            <v>14888</v>
          </cell>
        </row>
        <row r="44">
          <cell r="B44" t="str">
            <v>Fronx</v>
          </cell>
          <cell r="C44">
            <v>13643</v>
          </cell>
          <cell r="D44">
            <v>14168</v>
          </cell>
          <cell r="E44">
            <v>12531</v>
          </cell>
        </row>
        <row r="45">
          <cell r="B45" t="str">
            <v>Grand Vitara</v>
          </cell>
          <cell r="C45">
            <v>13438</v>
          </cell>
          <cell r="D45">
            <v>11002</v>
          </cell>
          <cell r="E45">
            <v>11232</v>
          </cell>
        </row>
        <row r="46">
          <cell r="B46" t="str">
            <v>Ignis</v>
          </cell>
          <cell r="C46">
            <v>2598</v>
          </cell>
          <cell r="D46">
            <v>211</v>
          </cell>
          <cell r="E46">
            <v>2788</v>
          </cell>
        </row>
        <row r="47">
          <cell r="B47" t="str">
            <v>Invicto</v>
          </cell>
          <cell r="C47">
            <v>496</v>
          </cell>
          <cell r="D47">
            <v>366</v>
          </cell>
          <cell r="E47">
            <v>348</v>
          </cell>
        </row>
        <row r="48">
          <cell r="B48" t="str">
            <v>Jimny</v>
          </cell>
          <cell r="C48">
            <v>163</v>
          </cell>
          <cell r="D48">
            <v>322</v>
          </cell>
          <cell r="E48">
            <v>318</v>
          </cell>
        </row>
        <row r="49">
          <cell r="B49" t="str">
            <v>S-Presso</v>
          </cell>
          <cell r="C49">
            <v>3454</v>
          </cell>
          <cell r="D49">
            <v>3059</v>
          </cell>
          <cell r="E49">
            <v>2497</v>
          </cell>
        </row>
        <row r="50">
          <cell r="B50" t="str">
            <v>Swift</v>
          </cell>
          <cell r="C50">
            <v>15370</v>
          </cell>
          <cell r="D50">
            <v>13165</v>
          </cell>
          <cell r="E50">
            <v>15728</v>
          </cell>
        </row>
        <row r="51">
          <cell r="B51" t="str">
            <v>WagonR</v>
          </cell>
          <cell r="C51">
            <v>17756</v>
          </cell>
          <cell r="D51">
            <v>19412</v>
          </cell>
          <cell r="E51">
            <v>16368</v>
          </cell>
        </row>
        <row r="52">
          <cell r="B52" t="str">
            <v>XL6</v>
          </cell>
          <cell r="C52">
            <v>4363</v>
          </cell>
          <cell r="D52">
            <v>4093</v>
          </cell>
          <cell r="E52">
            <v>4505</v>
          </cell>
        </row>
        <row r="53">
          <cell r="B53" t="str">
            <v>Astor</v>
          </cell>
          <cell r="C53">
            <v>966</v>
          </cell>
          <cell r="D53">
            <v>1036</v>
          </cell>
          <cell r="E53">
            <v>1274</v>
          </cell>
        </row>
        <row r="54">
          <cell r="B54" t="str">
            <v>Comet</v>
          </cell>
          <cell r="C54">
            <v>505</v>
          </cell>
          <cell r="D54">
            <v>920</v>
          </cell>
          <cell r="E54">
            <v>875</v>
          </cell>
        </row>
        <row r="55">
          <cell r="B55" t="str">
            <v>Gloster</v>
          </cell>
          <cell r="C55">
            <v>139</v>
          </cell>
          <cell r="D55">
            <v>168</v>
          </cell>
          <cell r="E55">
            <v>131</v>
          </cell>
        </row>
        <row r="56">
          <cell r="B56" t="str">
            <v>Hector</v>
          </cell>
          <cell r="C56">
            <v>1817</v>
          </cell>
          <cell r="D56">
            <v>1826</v>
          </cell>
          <cell r="E56">
            <v>1887</v>
          </cell>
        </row>
        <row r="57">
          <cell r="B57" t="str">
            <v>Windsor</v>
          </cell>
          <cell r="C57">
            <v>0</v>
          </cell>
          <cell r="D57">
            <v>0</v>
          </cell>
          <cell r="E57">
            <v>0</v>
          </cell>
        </row>
        <row r="58">
          <cell r="B58" t="str">
            <v>ZS EV</v>
          </cell>
          <cell r="C58">
            <v>398</v>
          </cell>
          <cell r="D58">
            <v>582</v>
          </cell>
          <cell r="E58">
            <v>481</v>
          </cell>
        </row>
        <row r="59">
          <cell r="B59" t="str">
            <v>Magnite</v>
          </cell>
          <cell r="C59">
            <v>2863</v>
          </cell>
          <cell r="D59">
            <v>2755</v>
          </cell>
          <cell r="E59">
            <v>2701</v>
          </cell>
        </row>
        <row r="60">
          <cell r="B60" t="str">
            <v>X-Trail</v>
          </cell>
          <cell r="C60">
            <v>0</v>
          </cell>
          <cell r="D60">
            <v>0</v>
          </cell>
          <cell r="E60">
            <v>0</v>
          </cell>
        </row>
        <row r="61">
          <cell r="B61" t="str">
            <v>Kiger</v>
          </cell>
          <cell r="C61">
            <v>750</v>
          </cell>
          <cell r="D61">
            <v>1047</v>
          </cell>
          <cell r="E61">
            <v>1050</v>
          </cell>
        </row>
        <row r="62">
          <cell r="B62" t="str">
            <v>Kwid</v>
          </cell>
          <cell r="C62">
            <v>856</v>
          </cell>
          <cell r="D62">
            <v>828</v>
          </cell>
          <cell r="E62">
            <v>928</v>
          </cell>
        </row>
        <row r="63">
          <cell r="B63" t="str">
            <v>Triber</v>
          </cell>
          <cell r="C63">
            <v>2220</v>
          </cell>
          <cell r="D63">
            <v>2205</v>
          </cell>
          <cell r="E63">
            <v>2247</v>
          </cell>
        </row>
        <row r="64">
          <cell r="B64" t="str">
            <v>Kodiaq</v>
          </cell>
          <cell r="C64">
            <v>53</v>
          </cell>
          <cell r="D64">
            <v>89</v>
          </cell>
          <cell r="E64">
            <v>136</v>
          </cell>
        </row>
        <row r="65">
          <cell r="B65" t="str">
            <v>Kushaq</v>
          </cell>
          <cell r="C65">
            <v>1082</v>
          </cell>
          <cell r="D65">
            <v>1137</v>
          </cell>
          <cell r="E65">
            <v>1293</v>
          </cell>
        </row>
        <row r="66">
          <cell r="B66" t="str">
            <v>Slavia</v>
          </cell>
          <cell r="C66">
            <v>1242</v>
          </cell>
          <cell r="D66">
            <v>1028</v>
          </cell>
          <cell r="E66">
            <v>1358</v>
          </cell>
        </row>
        <row r="67">
          <cell r="B67" t="str">
            <v>Superb</v>
          </cell>
          <cell r="C67">
            <v>0</v>
          </cell>
          <cell r="D67">
            <v>0</v>
          </cell>
          <cell r="E67">
            <v>15</v>
          </cell>
        </row>
        <row r="68">
          <cell r="B68" t="str">
            <v>Altroz</v>
          </cell>
          <cell r="C68">
            <v>4935</v>
          </cell>
          <cell r="D68">
            <v>4568</v>
          </cell>
          <cell r="E68">
            <v>5985</v>
          </cell>
        </row>
        <row r="69">
          <cell r="B69" t="str">
            <v>Curvv</v>
          </cell>
          <cell r="C69">
            <v>0</v>
          </cell>
          <cell r="D69">
            <v>0</v>
          </cell>
          <cell r="E69">
            <v>0</v>
          </cell>
        </row>
        <row r="70">
          <cell r="B70" t="str">
            <v>Harrier</v>
          </cell>
          <cell r="C70">
            <v>2626</v>
          </cell>
          <cell r="D70">
            <v>2562</v>
          </cell>
          <cell r="E70">
            <v>2054</v>
          </cell>
        </row>
        <row r="71">
          <cell r="B71" t="str">
            <v>Nexon</v>
          </cell>
          <cell r="C71">
            <v>17182</v>
          </cell>
          <cell r="D71">
            <v>14395</v>
          </cell>
          <cell r="E71">
            <v>14058</v>
          </cell>
        </row>
        <row r="72">
          <cell r="B72" t="str">
            <v>Punch</v>
          </cell>
          <cell r="C72">
            <v>17978</v>
          </cell>
          <cell r="D72">
            <v>18438</v>
          </cell>
          <cell r="E72">
            <v>17547</v>
          </cell>
        </row>
        <row r="73">
          <cell r="B73" t="str">
            <v>Safari</v>
          </cell>
          <cell r="C73">
            <v>2893</v>
          </cell>
          <cell r="D73">
            <v>2648</v>
          </cell>
          <cell r="E73">
            <v>2063</v>
          </cell>
        </row>
        <row r="74">
          <cell r="B74" t="str">
            <v>Tiago</v>
          </cell>
          <cell r="C74">
            <v>6482</v>
          </cell>
          <cell r="D74">
            <v>6947</v>
          </cell>
          <cell r="E74">
            <v>6381</v>
          </cell>
        </row>
        <row r="75">
          <cell r="B75" t="str">
            <v>Tigor</v>
          </cell>
          <cell r="C75">
            <v>1539</v>
          </cell>
          <cell r="D75">
            <v>1712</v>
          </cell>
          <cell r="E75">
            <v>2017</v>
          </cell>
        </row>
        <row r="76">
          <cell r="B76" t="str">
            <v>Camry</v>
          </cell>
          <cell r="C76">
            <v>312</v>
          </cell>
          <cell r="D76">
            <v>210</v>
          </cell>
          <cell r="E76">
            <v>232</v>
          </cell>
        </row>
        <row r="77">
          <cell r="B77" t="str">
            <v>Fortuner</v>
          </cell>
          <cell r="C77">
            <v>3213</v>
          </cell>
          <cell r="D77">
            <v>3395</v>
          </cell>
          <cell r="E77">
            <v>3621</v>
          </cell>
        </row>
        <row r="78">
          <cell r="B78" t="str">
            <v>Glanza</v>
          </cell>
          <cell r="C78">
            <v>3740</v>
          </cell>
          <cell r="D78">
            <v>4581</v>
          </cell>
          <cell r="E78">
            <v>4319</v>
          </cell>
        </row>
        <row r="79">
          <cell r="B79" t="str">
            <v>Hilux</v>
          </cell>
          <cell r="C79">
            <v>289</v>
          </cell>
          <cell r="D79">
            <v>245</v>
          </cell>
          <cell r="E79">
            <v>356</v>
          </cell>
        </row>
        <row r="80">
          <cell r="B80" t="str">
            <v>Hyryder</v>
          </cell>
          <cell r="C80">
            <v>5543</v>
          </cell>
          <cell r="D80">
            <v>5601</v>
          </cell>
          <cell r="E80">
            <v>5965</v>
          </cell>
        </row>
        <row r="81">
          <cell r="B81" t="str">
            <v>Innova Crysta, Innova Hycross</v>
          </cell>
          <cell r="C81">
            <v>9400</v>
          </cell>
          <cell r="D81">
            <v>8481</v>
          </cell>
          <cell r="E81">
            <v>9900</v>
          </cell>
        </row>
        <row r="82">
          <cell r="B82" t="str">
            <v>Land Cruiser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Rumion</v>
          </cell>
          <cell r="C83">
            <v>639</v>
          </cell>
          <cell r="D83">
            <v>730</v>
          </cell>
          <cell r="E83">
            <v>688</v>
          </cell>
        </row>
        <row r="84">
          <cell r="B84" t="str">
            <v>Taisor</v>
          </cell>
          <cell r="C84">
            <v>0</v>
          </cell>
          <cell r="D84">
            <v>0</v>
          </cell>
          <cell r="E84">
            <v>0</v>
          </cell>
        </row>
        <row r="85">
          <cell r="B85" t="str">
            <v>Vellfire</v>
          </cell>
          <cell r="C85">
            <v>61</v>
          </cell>
          <cell r="D85">
            <v>57</v>
          </cell>
          <cell r="E85">
            <v>38</v>
          </cell>
        </row>
        <row r="86">
          <cell r="B86" t="str">
            <v>Taigun</v>
          </cell>
          <cell r="C86">
            <v>1275</v>
          </cell>
          <cell r="D86">
            <v>1286</v>
          </cell>
          <cell r="E86">
            <v>1588</v>
          </cell>
        </row>
        <row r="87">
          <cell r="B87" t="str">
            <v>Tiguan</v>
          </cell>
          <cell r="C87">
            <v>113</v>
          </cell>
          <cell r="D87">
            <v>102</v>
          </cell>
          <cell r="E87">
            <v>94</v>
          </cell>
        </row>
        <row r="88">
          <cell r="B88" t="str">
            <v>Virtus</v>
          </cell>
          <cell r="C88">
            <v>1879</v>
          </cell>
          <cell r="D88">
            <v>1631</v>
          </cell>
          <cell r="E88">
            <v>1847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Basalt</v>
          </cell>
          <cell r="C2">
            <v>61</v>
          </cell>
          <cell r="D2">
            <v>37</v>
          </cell>
          <cell r="E2">
            <v>100</v>
          </cell>
        </row>
        <row r="3">
          <cell r="B3" t="str">
            <v>C3</v>
          </cell>
          <cell r="C3">
            <v>242</v>
          </cell>
          <cell r="D3">
            <v>110</v>
          </cell>
          <cell r="E3">
            <v>120</v>
          </cell>
        </row>
        <row r="4">
          <cell r="B4" t="str">
            <v>Aircross</v>
          </cell>
          <cell r="C4">
            <v>107</v>
          </cell>
          <cell r="D4">
            <v>43</v>
          </cell>
          <cell r="E4">
            <v>69</v>
          </cell>
        </row>
        <row r="5">
          <cell r="B5" t="str">
            <v>C5 Aircross</v>
          </cell>
          <cell r="C5">
            <v>0</v>
          </cell>
          <cell r="D5">
            <v>1</v>
          </cell>
          <cell r="E5">
            <v>0</v>
          </cell>
        </row>
        <row r="6">
          <cell r="B6" t="str">
            <v>e-C3</v>
          </cell>
          <cell r="C6">
            <v>60</v>
          </cell>
          <cell r="D6">
            <v>77</v>
          </cell>
          <cell r="E6">
            <v>118</v>
          </cell>
        </row>
        <row r="7">
          <cell r="B7" t="str">
            <v>Amaze</v>
          </cell>
          <cell r="C7">
            <v>3591</v>
          </cell>
          <cell r="D7">
            <v>3263</v>
          </cell>
          <cell r="E7">
            <v>3583</v>
          </cell>
        </row>
        <row r="8">
          <cell r="B8" t="str">
            <v>City</v>
          </cell>
          <cell r="C8">
            <v>739</v>
          </cell>
          <cell r="D8">
            <v>889</v>
          </cell>
          <cell r="E8">
            <v>1170</v>
          </cell>
        </row>
        <row r="9">
          <cell r="B9" t="str">
            <v>Elevate</v>
          </cell>
          <cell r="C9">
            <v>1773</v>
          </cell>
          <cell r="D9">
            <v>1464</v>
          </cell>
          <cell r="E9">
            <v>2475</v>
          </cell>
        </row>
        <row r="10">
          <cell r="B10" t="str">
            <v>Aura</v>
          </cell>
          <cell r="C10">
            <v>5388</v>
          </cell>
          <cell r="D10">
            <v>4797</v>
          </cell>
          <cell r="E10">
            <v>5074</v>
          </cell>
        </row>
        <row r="11">
          <cell r="B11" t="str">
            <v>Alcazar</v>
          </cell>
          <cell r="C11">
            <v>1310</v>
          </cell>
          <cell r="D11">
            <v>1264</v>
          </cell>
          <cell r="E11">
            <v>1431</v>
          </cell>
        </row>
        <row r="12">
          <cell r="B12" t="str">
            <v>Creta</v>
          </cell>
          <cell r="C12">
            <v>18522</v>
          </cell>
          <cell r="D12">
            <v>16317</v>
          </cell>
          <cell r="E12">
            <v>18059</v>
          </cell>
        </row>
        <row r="13">
          <cell r="B13" t="str">
            <v>Exter</v>
          </cell>
          <cell r="C13">
            <v>6068</v>
          </cell>
          <cell r="D13">
            <v>5361</v>
          </cell>
          <cell r="E13">
            <v>5901</v>
          </cell>
        </row>
        <row r="14">
          <cell r="B14" t="str">
            <v xml:space="preserve">Grand i10 </v>
          </cell>
          <cell r="C14">
            <v>5311</v>
          </cell>
          <cell r="D14">
            <v>4940</v>
          </cell>
          <cell r="E14">
            <v>4990</v>
          </cell>
        </row>
        <row r="15">
          <cell r="B15" t="str">
            <v>i20</v>
          </cell>
          <cell r="C15">
            <v>4741</v>
          </cell>
          <cell r="D15">
            <v>3627</v>
          </cell>
          <cell r="E15">
            <v>4452</v>
          </cell>
        </row>
        <row r="16">
          <cell r="B16" t="str">
            <v>Ioniq 5</v>
          </cell>
          <cell r="C16">
            <v>16</v>
          </cell>
          <cell r="D16">
            <v>16</v>
          </cell>
          <cell r="E16">
            <v>19</v>
          </cell>
        </row>
        <row r="17">
          <cell r="B17" t="str">
            <v>Kona</v>
          </cell>
        </row>
        <row r="18">
          <cell r="B18" t="str">
            <v>Tucson</v>
          </cell>
          <cell r="C18">
            <v>64</v>
          </cell>
          <cell r="D18">
            <v>73</v>
          </cell>
          <cell r="E18">
            <v>89</v>
          </cell>
        </row>
        <row r="19">
          <cell r="B19" t="str">
            <v>Venue</v>
          </cell>
          <cell r="C19">
            <v>11106</v>
          </cell>
          <cell r="D19">
            <v>10125</v>
          </cell>
          <cell r="E19">
            <v>10441</v>
          </cell>
        </row>
        <row r="20">
          <cell r="B20" t="str">
            <v>Verna</v>
          </cell>
          <cell r="C20">
            <v>1477</v>
          </cell>
          <cell r="D20">
            <v>1207</v>
          </cell>
          <cell r="E20">
            <v>1364</v>
          </cell>
        </row>
        <row r="21">
          <cell r="B21" t="str">
            <v>Compass</v>
          </cell>
          <cell r="C21">
            <v>173</v>
          </cell>
          <cell r="D21">
            <v>120</v>
          </cell>
          <cell r="E21">
            <v>142</v>
          </cell>
        </row>
        <row r="22">
          <cell r="B22" t="str">
            <v>Grand Cherokee</v>
          </cell>
          <cell r="C22">
            <v>0</v>
          </cell>
          <cell r="D22">
            <v>12</v>
          </cell>
          <cell r="E22">
            <v>8</v>
          </cell>
        </row>
        <row r="23">
          <cell r="B23" t="str">
            <v>Meridian</v>
          </cell>
          <cell r="C23">
            <v>137</v>
          </cell>
          <cell r="D23">
            <v>133</v>
          </cell>
          <cell r="E23">
            <v>112</v>
          </cell>
        </row>
        <row r="24">
          <cell r="B24" t="str">
            <v>Wrangler</v>
          </cell>
          <cell r="C24">
            <v>0</v>
          </cell>
          <cell r="D24">
            <v>28</v>
          </cell>
          <cell r="E24">
            <v>32</v>
          </cell>
        </row>
        <row r="25">
          <cell r="B25" t="str">
            <v>Carens</v>
          </cell>
          <cell r="C25">
            <v>5522</v>
          </cell>
          <cell r="D25">
            <v>5318</v>
          </cell>
          <cell r="E25">
            <v>5512</v>
          </cell>
        </row>
        <row r="26">
          <cell r="B26" t="str">
            <v>Carnival</v>
          </cell>
          <cell r="C26">
            <v>293</v>
          </cell>
          <cell r="D26">
            <v>239</v>
          </cell>
          <cell r="E26">
            <v>230</v>
          </cell>
        </row>
        <row r="27">
          <cell r="B27" t="str">
            <v>EV6</v>
          </cell>
          <cell r="C27">
            <v>0</v>
          </cell>
          <cell r="D27">
            <v>0</v>
          </cell>
          <cell r="E27">
            <v>520</v>
          </cell>
        </row>
        <row r="28">
          <cell r="B28" t="str">
            <v>EV9</v>
          </cell>
          <cell r="E28">
            <v>18</v>
          </cell>
        </row>
        <row r="29">
          <cell r="B29" t="str">
            <v>Seltos</v>
          </cell>
          <cell r="C29">
            <v>6470</v>
          </cell>
          <cell r="D29">
            <v>6446</v>
          </cell>
          <cell r="E29">
            <v>6525</v>
          </cell>
        </row>
        <row r="30">
          <cell r="B30" t="str">
            <v>Sonet</v>
          </cell>
          <cell r="C30">
            <v>7194</v>
          </cell>
          <cell r="D30">
            <v>7598</v>
          </cell>
          <cell r="E30">
            <v>7705</v>
          </cell>
        </row>
        <row r="31">
          <cell r="B31" t="str">
            <v>Syros</v>
          </cell>
          <cell r="C31">
            <v>5546</v>
          </cell>
          <cell r="D31">
            <v>5425</v>
          </cell>
          <cell r="E31">
            <v>5015</v>
          </cell>
        </row>
        <row r="32">
          <cell r="B32" t="str">
            <v>Bolero</v>
          </cell>
          <cell r="C32">
            <v>8682</v>
          </cell>
          <cell r="D32">
            <v>8690</v>
          </cell>
          <cell r="E32">
            <v>8031</v>
          </cell>
        </row>
        <row r="33">
          <cell r="B33" t="str">
            <v>Marazzo</v>
          </cell>
          <cell r="C33">
            <v>0</v>
          </cell>
          <cell r="D33">
            <v>17</v>
          </cell>
          <cell r="E33">
            <v>10</v>
          </cell>
        </row>
        <row r="34">
          <cell r="B34" t="str">
            <v>Scorpio</v>
          </cell>
          <cell r="C34">
            <v>15442</v>
          </cell>
          <cell r="D34">
            <v>13618</v>
          </cell>
          <cell r="E34">
            <v>13913</v>
          </cell>
        </row>
        <row r="35">
          <cell r="B35" t="str">
            <v>Thar</v>
          </cell>
          <cell r="C35">
            <v>7557</v>
          </cell>
          <cell r="D35">
            <v>9248</v>
          </cell>
          <cell r="E35">
            <v>8936</v>
          </cell>
        </row>
        <row r="36">
          <cell r="B36" t="str">
            <v>XUV300, XUV 3X0</v>
          </cell>
          <cell r="C36">
            <v>8454</v>
          </cell>
          <cell r="D36">
            <v>7861</v>
          </cell>
          <cell r="E36">
            <v>2080</v>
          </cell>
        </row>
        <row r="37">
          <cell r="B37" t="str">
            <v>XUV400</v>
          </cell>
          <cell r="C37">
            <v>288</v>
          </cell>
          <cell r="D37">
            <v>322</v>
          </cell>
          <cell r="E37">
            <v>7055</v>
          </cell>
        </row>
        <row r="38">
          <cell r="B38" t="str">
            <v>XUV700</v>
          </cell>
          <cell r="C38">
            <v>8399</v>
          </cell>
          <cell r="D38">
            <v>7468</v>
          </cell>
          <cell r="E38">
            <v>238</v>
          </cell>
        </row>
        <row r="39">
          <cell r="B39" t="str">
            <v>BE 6</v>
          </cell>
          <cell r="C39">
            <v>700</v>
          </cell>
          <cell r="D39">
            <v>991</v>
          </cell>
          <cell r="E39">
            <v>934</v>
          </cell>
        </row>
        <row r="40">
          <cell r="B40" t="str">
            <v>XEV 9e</v>
          </cell>
          <cell r="C40">
            <v>1137</v>
          </cell>
          <cell r="D40">
            <v>2205</v>
          </cell>
          <cell r="E40">
            <v>2080</v>
          </cell>
        </row>
        <row r="41">
          <cell r="B41" t="str">
            <v>Alto</v>
          </cell>
          <cell r="C41">
            <v>11352</v>
          </cell>
          <cell r="D41">
            <v>8541</v>
          </cell>
          <cell r="E41">
            <v>9867</v>
          </cell>
        </row>
        <row r="42">
          <cell r="B42" t="str">
            <v>Baleno</v>
          </cell>
          <cell r="C42">
            <v>19965</v>
          </cell>
          <cell r="D42">
            <v>15480</v>
          </cell>
          <cell r="E42">
            <v>12357</v>
          </cell>
        </row>
        <row r="43">
          <cell r="B43" t="str">
            <v>Brezza</v>
          </cell>
          <cell r="C43">
            <v>14747</v>
          </cell>
          <cell r="D43">
            <v>15392</v>
          </cell>
          <cell r="E43">
            <v>16546</v>
          </cell>
        </row>
        <row r="44">
          <cell r="B44" t="str">
            <v>Celerio</v>
          </cell>
          <cell r="C44">
            <v>1954</v>
          </cell>
          <cell r="D44">
            <v>4226</v>
          </cell>
          <cell r="E44">
            <v>2268</v>
          </cell>
        </row>
        <row r="45">
          <cell r="B45" t="str">
            <v>Ciaz</v>
          </cell>
          <cell r="C45">
            <v>768</v>
          </cell>
          <cell r="D45">
            <v>1097</v>
          </cell>
          <cell r="E45">
            <v>676</v>
          </cell>
        </row>
        <row r="46">
          <cell r="B46" t="str">
            <v>Dzire</v>
          </cell>
          <cell r="C46">
            <v>15383</v>
          </cell>
          <cell r="D46">
            <v>14694</v>
          </cell>
          <cell r="E46">
            <v>15460</v>
          </cell>
        </row>
        <row r="47">
          <cell r="B47" t="str">
            <v>Eeco</v>
          </cell>
          <cell r="C47">
            <v>11250</v>
          </cell>
          <cell r="D47">
            <v>11493</v>
          </cell>
          <cell r="E47">
            <v>10409</v>
          </cell>
        </row>
        <row r="48">
          <cell r="B48" t="str">
            <v>Ertiga</v>
          </cell>
          <cell r="C48">
            <v>14248</v>
          </cell>
          <cell r="D48">
            <v>14868</v>
          </cell>
          <cell r="E48">
            <v>16804</v>
          </cell>
        </row>
        <row r="49">
          <cell r="B49" t="str">
            <v>Fronx</v>
          </cell>
          <cell r="C49">
            <v>15192</v>
          </cell>
          <cell r="D49">
            <v>21461</v>
          </cell>
          <cell r="E49">
            <v>13669</v>
          </cell>
        </row>
        <row r="50">
          <cell r="B50" t="str">
            <v>Grand Vitara</v>
          </cell>
          <cell r="C50">
            <v>15784</v>
          </cell>
          <cell r="D50">
            <v>10669</v>
          </cell>
          <cell r="E50">
            <v>10418</v>
          </cell>
        </row>
        <row r="51">
          <cell r="B51" t="str">
            <v>Ignis</v>
          </cell>
          <cell r="C51">
            <v>3780</v>
          </cell>
          <cell r="D51">
            <v>2394</v>
          </cell>
          <cell r="E51">
            <v>1900</v>
          </cell>
        </row>
        <row r="52">
          <cell r="B52" t="str">
            <v>Invicto</v>
          </cell>
          <cell r="C52">
            <v>556</v>
          </cell>
          <cell r="D52">
            <v>380</v>
          </cell>
          <cell r="E52">
            <v>294</v>
          </cell>
        </row>
        <row r="53">
          <cell r="B53" t="str">
            <v>Jimny</v>
          </cell>
          <cell r="C53">
            <v>163</v>
          </cell>
          <cell r="D53">
            <v>385</v>
          </cell>
          <cell r="E53">
            <v>261</v>
          </cell>
        </row>
        <row r="54">
          <cell r="B54" t="str">
            <v>S-Presso</v>
          </cell>
          <cell r="C54">
            <v>2895</v>
          </cell>
          <cell r="D54">
            <v>1685</v>
          </cell>
          <cell r="E54">
            <v>1788</v>
          </cell>
        </row>
        <row r="55">
          <cell r="B55" t="str">
            <v>Swift</v>
          </cell>
          <cell r="C55">
            <v>17081</v>
          </cell>
          <cell r="D55">
            <v>16269</v>
          </cell>
          <cell r="E55">
            <v>17746</v>
          </cell>
        </row>
        <row r="56">
          <cell r="B56" t="str">
            <v>WagonR</v>
          </cell>
          <cell r="C56">
            <v>24078</v>
          </cell>
          <cell r="D56">
            <v>19879</v>
          </cell>
          <cell r="E56">
            <v>17175</v>
          </cell>
        </row>
        <row r="57">
          <cell r="B57" t="str">
            <v>XL6</v>
          </cell>
          <cell r="C57">
            <v>4403</v>
          </cell>
          <cell r="D57">
            <v>1878</v>
          </cell>
          <cell r="E57">
            <v>3105</v>
          </cell>
        </row>
        <row r="58">
          <cell r="B58" t="str">
            <v>Astor</v>
          </cell>
          <cell r="C58">
            <v>190</v>
          </cell>
          <cell r="D58">
            <v>264</v>
          </cell>
          <cell r="E58">
            <v>184</v>
          </cell>
        </row>
        <row r="59">
          <cell r="B59" t="str">
            <v>Comet</v>
          </cell>
          <cell r="C59">
            <v>173</v>
          </cell>
          <cell r="D59">
            <v>291</v>
          </cell>
          <cell r="E59">
            <v>173</v>
          </cell>
        </row>
        <row r="60">
          <cell r="B60" t="str">
            <v>Gloster</v>
          </cell>
          <cell r="C60">
            <v>101</v>
          </cell>
          <cell r="D60">
            <v>102</v>
          </cell>
          <cell r="E60">
            <v>100</v>
          </cell>
        </row>
        <row r="61">
          <cell r="B61" t="str">
            <v>Hector</v>
          </cell>
          <cell r="C61">
            <v>449</v>
          </cell>
          <cell r="D61">
            <v>515</v>
          </cell>
          <cell r="E61">
            <v>547</v>
          </cell>
        </row>
        <row r="62">
          <cell r="B62" t="str">
            <v>Windsor</v>
          </cell>
          <cell r="C62">
            <v>3277</v>
          </cell>
          <cell r="D62">
            <v>2431</v>
          </cell>
          <cell r="E62">
            <v>3641</v>
          </cell>
        </row>
        <row r="63">
          <cell r="B63" t="str">
            <v>ZS EV</v>
          </cell>
          <cell r="C63">
            <v>265</v>
          </cell>
          <cell r="D63">
            <v>399</v>
          </cell>
          <cell r="E63">
            <v>856</v>
          </cell>
        </row>
        <row r="64">
          <cell r="B64" t="str">
            <v>Magnite</v>
          </cell>
          <cell r="C64">
            <v>2404</v>
          </cell>
          <cell r="D64">
            <v>2328</v>
          </cell>
          <cell r="E64">
            <v>8484</v>
          </cell>
        </row>
        <row r="65">
          <cell r="B65" t="str">
            <v>X-Trail</v>
          </cell>
          <cell r="C65">
            <v>0</v>
          </cell>
          <cell r="D65">
            <v>0</v>
          </cell>
          <cell r="E65">
            <v>15</v>
          </cell>
        </row>
        <row r="66">
          <cell r="B66" t="str">
            <v>Kiger</v>
          </cell>
          <cell r="C66">
            <v>755</v>
          </cell>
          <cell r="D66">
            <v>433</v>
          </cell>
          <cell r="E66">
            <v>762</v>
          </cell>
        </row>
        <row r="67">
          <cell r="B67" t="str">
            <v>Kwid</v>
          </cell>
          <cell r="C67">
            <v>569</v>
          </cell>
          <cell r="D67">
            <v>698</v>
          </cell>
          <cell r="E67">
            <v>532</v>
          </cell>
        </row>
        <row r="68">
          <cell r="B68" t="str">
            <v>Triber</v>
          </cell>
          <cell r="C68">
            <v>1456</v>
          </cell>
          <cell r="D68">
            <v>1545</v>
          </cell>
          <cell r="E68">
            <v>1552</v>
          </cell>
        </row>
        <row r="69">
          <cell r="B69" t="str">
            <v>Kodiaq</v>
          </cell>
          <cell r="C69">
            <v>10</v>
          </cell>
          <cell r="D69">
            <v>10</v>
          </cell>
          <cell r="E69">
            <v>13</v>
          </cell>
        </row>
        <row r="70">
          <cell r="B70" t="str">
            <v>Kushaq</v>
          </cell>
          <cell r="C70">
            <v>1371</v>
          </cell>
          <cell r="D70">
            <v>1035</v>
          </cell>
          <cell r="E70">
            <v>897</v>
          </cell>
        </row>
        <row r="71">
          <cell r="B71" t="str">
            <v>Kylaq</v>
          </cell>
          <cell r="C71">
            <v>1242</v>
          </cell>
          <cell r="D71">
            <v>3636</v>
          </cell>
          <cell r="E71">
            <v>5327</v>
          </cell>
        </row>
        <row r="72">
          <cell r="B72" t="str">
            <v>Slavia</v>
          </cell>
          <cell r="C72">
            <v>1510</v>
          </cell>
          <cell r="D72">
            <v>901</v>
          </cell>
          <cell r="E72">
            <v>1185</v>
          </cell>
        </row>
        <row r="73">
          <cell r="B73" t="str">
            <v>Superb</v>
          </cell>
          <cell r="C73">
            <v>0</v>
          </cell>
          <cell r="D73">
            <v>1</v>
          </cell>
          <cell r="E73">
            <v>0</v>
          </cell>
        </row>
        <row r="74">
          <cell r="B74" t="str">
            <v>Altroz</v>
          </cell>
          <cell r="C74">
            <v>2033</v>
          </cell>
          <cell r="D74">
            <v>1604</v>
          </cell>
          <cell r="E74">
            <v>1658</v>
          </cell>
        </row>
        <row r="75">
          <cell r="B75" t="str">
            <v>Curvv</v>
          </cell>
          <cell r="C75">
            <v>3087</v>
          </cell>
          <cell r="D75">
            <v>3483</v>
          </cell>
          <cell r="E75">
            <v>3785</v>
          </cell>
        </row>
        <row r="76">
          <cell r="B76" t="str">
            <v>Harrier</v>
          </cell>
          <cell r="C76">
            <v>1488</v>
          </cell>
          <cell r="D76">
            <v>1376</v>
          </cell>
          <cell r="E76">
            <v>1265</v>
          </cell>
        </row>
        <row r="77">
          <cell r="B77" t="str">
            <v>Nexon</v>
          </cell>
          <cell r="C77">
            <v>15397</v>
          </cell>
          <cell r="D77">
            <v>15349</v>
          </cell>
          <cell r="E77">
            <v>16366</v>
          </cell>
        </row>
        <row r="78">
          <cell r="B78" t="str">
            <v>Punch</v>
          </cell>
          <cell r="C78">
            <v>16231</v>
          </cell>
          <cell r="D78">
            <v>14559</v>
          </cell>
          <cell r="E78">
            <v>17714</v>
          </cell>
        </row>
        <row r="79">
          <cell r="B79" t="str">
            <v>Safari</v>
          </cell>
          <cell r="C79">
            <v>1548</v>
          </cell>
          <cell r="D79">
            <v>1562</v>
          </cell>
          <cell r="E79">
            <v>1415</v>
          </cell>
        </row>
        <row r="80">
          <cell r="B80" t="str">
            <v>Tiago</v>
          </cell>
          <cell r="C80">
            <v>6807</v>
          </cell>
          <cell r="D80">
            <v>6954</v>
          </cell>
          <cell r="E80">
            <v>7946</v>
          </cell>
        </row>
        <row r="81">
          <cell r="B81" t="str">
            <v>Tigor</v>
          </cell>
          <cell r="C81">
            <v>1484</v>
          </cell>
          <cell r="D81">
            <v>1550</v>
          </cell>
          <cell r="E81">
            <v>1467</v>
          </cell>
        </row>
        <row r="82">
          <cell r="B82" t="str">
            <v>Camry</v>
          </cell>
          <cell r="C82">
            <v>197</v>
          </cell>
          <cell r="D82">
            <v>209</v>
          </cell>
          <cell r="E82">
            <v>203</v>
          </cell>
        </row>
        <row r="83">
          <cell r="B83" t="str">
            <v>Fortuner</v>
          </cell>
          <cell r="C83">
            <v>3149</v>
          </cell>
          <cell r="D83">
            <v>2876</v>
          </cell>
          <cell r="E83">
            <v>3392</v>
          </cell>
        </row>
        <row r="84">
          <cell r="B84" t="str">
            <v>Glanza</v>
          </cell>
          <cell r="C84">
            <v>3455</v>
          </cell>
          <cell r="D84">
            <v>4596</v>
          </cell>
          <cell r="E84">
            <v>3501</v>
          </cell>
        </row>
        <row r="85">
          <cell r="B85" t="str">
            <v>Hilux</v>
          </cell>
          <cell r="C85">
            <v>239</v>
          </cell>
          <cell r="D85">
            <v>248</v>
          </cell>
          <cell r="E85">
            <v>528</v>
          </cell>
        </row>
        <row r="86">
          <cell r="B86" t="str">
            <v>Hyryder</v>
          </cell>
          <cell r="C86">
            <v>4941</v>
          </cell>
          <cell r="D86">
            <v>4314</v>
          </cell>
          <cell r="E86">
            <v>5286</v>
          </cell>
        </row>
        <row r="87">
          <cell r="B87" t="str">
            <v>Innova Crysta, Innova Hycross</v>
          </cell>
          <cell r="C87">
            <v>9780</v>
          </cell>
          <cell r="D87">
            <v>8449</v>
          </cell>
          <cell r="E87">
            <v>9856</v>
          </cell>
        </row>
        <row r="88">
          <cell r="B88" t="str">
            <v>Land Cruiser</v>
          </cell>
          <cell r="C88">
            <v>0</v>
          </cell>
          <cell r="D88">
            <v>0</v>
          </cell>
          <cell r="E88">
            <v>0</v>
          </cell>
        </row>
        <row r="89">
          <cell r="B89" t="str">
            <v>Rumion</v>
          </cell>
          <cell r="C89">
            <v>1944</v>
          </cell>
          <cell r="D89">
            <v>2099</v>
          </cell>
          <cell r="E89">
            <v>1793</v>
          </cell>
        </row>
        <row r="90">
          <cell r="B90" t="str">
            <v>Taisor</v>
          </cell>
          <cell r="C90">
            <v>2470</v>
          </cell>
          <cell r="D90">
            <v>3604</v>
          </cell>
          <cell r="E90">
            <v>3468</v>
          </cell>
        </row>
        <row r="91">
          <cell r="B91" t="str">
            <v>Vellfire</v>
          </cell>
          <cell r="C91">
            <v>3</v>
          </cell>
          <cell r="D91">
            <v>19</v>
          </cell>
          <cell r="E91">
            <v>346</v>
          </cell>
        </row>
        <row r="92">
          <cell r="B92" t="str">
            <v>Taigun</v>
          </cell>
          <cell r="C92">
            <v>1548</v>
          </cell>
          <cell r="D92">
            <v>1271</v>
          </cell>
          <cell r="E92">
            <v>1590</v>
          </cell>
        </row>
        <row r="93">
          <cell r="B93" t="str">
            <v>Tiguan</v>
          </cell>
          <cell r="C93">
            <v>1</v>
          </cell>
          <cell r="D93">
            <v>2</v>
          </cell>
          <cell r="E93">
            <v>1</v>
          </cell>
        </row>
        <row r="94">
          <cell r="B94" t="str">
            <v>Virtus</v>
          </cell>
          <cell r="C94">
            <v>1795</v>
          </cell>
          <cell r="D94">
            <v>1837</v>
          </cell>
          <cell r="E94">
            <v>1947</v>
          </cell>
        </row>
      </sheetData>
      <sheetData sheetId="9">
        <row r="2">
          <cell r="B2" t="str">
            <v>Basalt</v>
          </cell>
          <cell r="C2" t="str">
            <v>PETROL</v>
          </cell>
          <cell r="D2" t="str">
            <v>ICE</v>
          </cell>
        </row>
        <row r="3">
          <cell r="B3" t="str">
            <v>C3</v>
          </cell>
          <cell r="C3" t="str">
            <v>PETROL/CNG</v>
          </cell>
          <cell r="D3" t="str">
            <v>ICE</v>
          </cell>
        </row>
        <row r="4">
          <cell r="B4" t="str">
            <v>Aircross</v>
          </cell>
          <cell r="C4" t="str">
            <v>PETROL</v>
          </cell>
          <cell r="D4" t="str">
            <v>ICE</v>
          </cell>
        </row>
        <row r="5">
          <cell r="B5" t="str">
            <v>C5 Aircross</v>
          </cell>
          <cell r="C5" t="str">
            <v>DIESEL</v>
          </cell>
          <cell r="D5" t="str">
            <v>ICE</v>
          </cell>
        </row>
        <row r="6">
          <cell r="B6" t="str">
            <v>e-C3</v>
          </cell>
          <cell r="C6" t="str">
            <v>ELECTRIC</v>
          </cell>
          <cell r="D6" t="str">
            <v>EV</v>
          </cell>
        </row>
        <row r="7">
          <cell r="B7" t="str">
            <v>Amaze</v>
          </cell>
          <cell r="C7" t="str">
            <v>PETROL</v>
          </cell>
          <cell r="D7" t="str">
            <v>ICE</v>
          </cell>
        </row>
        <row r="8">
          <cell r="B8" t="str">
            <v>City</v>
          </cell>
          <cell r="C8" t="str">
            <v>PETROL</v>
          </cell>
          <cell r="D8" t="str">
            <v>ICE</v>
          </cell>
        </row>
        <row r="9">
          <cell r="B9" t="str">
            <v>Elevate</v>
          </cell>
          <cell r="C9" t="str">
            <v>PETROL</v>
          </cell>
          <cell r="D9" t="str">
            <v>ICE</v>
          </cell>
        </row>
        <row r="10">
          <cell r="B10" t="str">
            <v>Aura</v>
          </cell>
          <cell r="C10" t="str">
            <v>PETROL</v>
          </cell>
          <cell r="D10" t="str">
            <v>ICE</v>
          </cell>
        </row>
        <row r="11">
          <cell r="B11" t="str">
            <v>Alcazar</v>
          </cell>
          <cell r="C11" t="str">
            <v>PETROL/DIESEL</v>
          </cell>
          <cell r="D11" t="str">
            <v>ICE</v>
          </cell>
        </row>
        <row r="12">
          <cell r="B12" t="str">
            <v>Creta</v>
          </cell>
          <cell r="C12" t="str">
            <v>PETROL/DIESEL</v>
          </cell>
          <cell r="D12" t="str">
            <v>ICE</v>
          </cell>
        </row>
        <row r="13">
          <cell r="B13" t="str">
            <v>Exter</v>
          </cell>
          <cell r="C13" t="str">
            <v>PETROL</v>
          </cell>
          <cell r="D13" t="str">
            <v>ICE</v>
          </cell>
        </row>
        <row r="14">
          <cell r="B14" t="str">
            <v xml:space="preserve">Grand i10 </v>
          </cell>
          <cell r="C14" t="str">
            <v>PETROL</v>
          </cell>
          <cell r="D14" t="str">
            <v>ICE</v>
          </cell>
        </row>
        <row r="15">
          <cell r="B15" t="str">
            <v>i20</v>
          </cell>
          <cell r="C15" t="str">
            <v>PETROL</v>
          </cell>
          <cell r="D15" t="str">
            <v>ICE</v>
          </cell>
        </row>
        <row r="16">
          <cell r="B16" t="str">
            <v>Ioniq 5</v>
          </cell>
          <cell r="C16" t="str">
            <v>ELECTRIC</v>
          </cell>
          <cell r="D16" t="str">
            <v>EV</v>
          </cell>
        </row>
        <row r="17">
          <cell r="B17" t="str">
            <v>Kona</v>
          </cell>
          <cell r="C17" t="str">
            <v>ELECTRIC</v>
          </cell>
          <cell r="D17" t="str">
            <v>EV</v>
          </cell>
        </row>
        <row r="18">
          <cell r="B18" t="str">
            <v>Tucson</v>
          </cell>
          <cell r="C18" t="str">
            <v>PETROL/DIESEL</v>
          </cell>
          <cell r="D18" t="str">
            <v>ICE</v>
          </cell>
        </row>
        <row r="19">
          <cell r="B19" t="str">
            <v>Venue</v>
          </cell>
          <cell r="C19" t="str">
            <v>PETROL/DIESEL</v>
          </cell>
          <cell r="D19" t="str">
            <v>ICE</v>
          </cell>
        </row>
        <row r="20">
          <cell r="B20" t="str">
            <v>Verna</v>
          </cell>
          <cell r="C20" t="str">
            <v>PETROL/DIESEL</v>
          </cell>
          <cell r="D20" t="str">
            <v>ICE</v>
          </cell>
        </row>
        <row r="21">
          <cell r="B21" t="str">
            <v>Compass</v>
          </cell>
          <cell r="C21" t="str">
            <v>DIESEL</v>
          </cell>
          <cell r="D21" t="str">
            <v>ICE</v>
          </cell>
        </row>
        <row r="22">
          <cell r="B22" t="str">
            <v>Grand Cherokee</v>
          </cell>
          <cell r="C22" t="str">
            <v>PETROL</v>
          </cell>
          <cell r="D22" t="str">
            <v>ICE</v>
          </cell>
        </row>
        <row r="23">
          <cell r="B23" t="str">
            <v>Meridian</v>
          </cell>
          <cell r="C23" t="str">
            <v>DIESEL</v>
          </cell>
          <cell r="D23" t="str">
            <v>ICE</v>
          </cell>
        </row>
        <row r="24">
          <cell r="B24" t="str">
            <v>Wrangler</v>
          </cell>
          <cell r="C24" t="str">
            <v>PETROL</v>
          </cell>
          <cell r="D24" t="str">
            <v>ICE</v>
          </cell>
        </row>
        <row r="25">
          <cell r="B25" t="str">
            <v>Carens</v>
          </cell>
          <cell r="C25" t="str">
            <v>PETROL/DIESEL</v>
          </cell>
          <cell r="D25" t="str">
            <v>ICE</v>
          </cell>
        </row>
        <row r="26">
          <cell r="B26" t="str">
            <v>Carnival</v>
          </cell>
          <cell r="C26" t="str">
            <v>DIESEL</v>
          </cell>
          <cell r="D26" t="str">
            <v>ICE</v>
          </cell>
        </row>
        <row r="27">
          <cell r="B27" t="str">
            <v>EV6</v>
          </cell>
          <cell r="C27" t="str">
            <v>ELECTRIC</v>
          </cell>
          <cell r="D27" t="str">
            <v>EV</v>
          </cell>
        </row>
        <row r="28">
          <cell r="B28" t="str">
            <v>EV9</v>
          </cell>
          <cell r="C28" t="str">
            <v>ELECTRIC</v>
          </cell>
          <cell r="D28" t="str">
            <v>EV</v>
          </cell>
        </row>
        <row r="29">
          <cell r="B29" t="str">
            <v>Seltos</v>
          </cell>
          <cell r="C29" t="str">
            <v>PETROL/DIESEL</v>
          </cell>
          <cell r="D29" t="str">
            <v>ICE</v>
          </cell>
        </row>
        <row r="30">
          <cell r="B30" t="str">
            <v>Sonet</v>
          </cell>
          <cell r="C30" t="str">
            <v>PETROL/DIESEL</v>
          </cell>
          <cell r="D30" t="str">
            <v>ICE</v>
          </cell>
        </row>
        <row r="31">
          <cell r="B31" t="str">
            <v>Syros</v>
          </cell>
          <cell r="C31" t="str">
            <v>PETROL/DIESEL</v>
          </cell>
          <cell r="D31" t="str">
            <v>ICE</v>
          </cell>
        </row>
        <row r="32">
          <cell r="B32" t="str">
            <v>Bolero</v>
          </cell>
          <cell r="C32" t="str">
            <v>DIESEL</v>
          </cell>
          <cell r="D32" t="str">
            <v>ICE</v>
          </cell>
        </row>
        <row r="33">
          <cell r="B33" t="str">
            <v>Marazzo</v>
          </cell>
          <cell r="C33" t="str">
            <v>DIESEL</v>
          </cell>
          <cell r="D33" t="str">
            <v>ICE</v>
          </cell>
        </row>
        <row r="34">
          <cell r="B34" t="str">
            <v>Scorpio</v>
          </cell>
          <cell r="C34" t="str">
            <v>DIESEL</v>
          </cell>
          <cell r="D34" t="str">
            <v>ICE</v>
          </cell>
        </row>
        <row r="35">
          <cell r="B35" t="str">
            <v>Thar</v>
          </cell>
          <cell r="C35" t="str">
            <v>PETROL/DIESEL</v>
          </cell>
          <cell r="D35" t="str">
            <v>ICE</v>
          </cell>
        </row>
        <row r="36">
          <cell r="B36" t="str">
            <v>KUV100</v>
          </cell>
          <cell r="C36" t="str">
            <v>PETROL/DIESEL/CNG</v>
          </cell>
          <cell r="D36" t="str">
            <v>ICE</v>
          </cell>
        </row>
        <row r="37">
          <cell r="B37" t="str">
            <v>XUV300, XUV 3X0</v>
          </cell>
          <cell r="C37" t="str">
            <v>PETROL</v>
          </cell>
          <cell r="D37" t="str">
            <v>ICE</v>
          </cell>
        </row>
        <row r="38">
          <cell r="B38" t="str">
            <v>XUV400</v>
          </cell>
          <cell r="C38" t="str">
            <v>ELECTRIC</v>
          </cell>
          <cell r="D38" t="str">
            <v>EV</v>
          </cell>
        </row>
        <row r="39">
          <cell r="B39" t="str">
            <v>XUV700</v>
          </cell>
          <cell r="C39" t="str">
            <v>PETROL/DIESEL</v>
          </cell>
          <cell r="D39" t="str">
            <v>ICE</v>
          </cell>
        </row>
        <row r="40">
          <cell r="B40" t="str">
            <v>BE 6</v>
          </cell>
          <cell r="C40" t="str">
            <v>ELECTRIC</v>
          </cell>
          <cell r="D40" t="str">
            <v>EV</v>
          </cell>
        </row>
        <row r="41">
          <cell r="B41" t="str">
            <v>XEV 9e</v>
          </cell>
          <cell r="C41" t="str">
            <v>ELECTRIC</v>
          </cell>
          <cell r="D41" t="str">
            <v>EV</v>
          </cell>
        </row>
        <row r="42">
          <cell r="B42" t="str">
            <v>Alto</v>
          </cell>
          <cell r="C42" t="str">
            <v>PETROL</v>
          </cell>
          <cell r="D42" t="str">
            <v>ICE</v>
          </cell>
        </row>
        <row r="43">
          <cell r="B43" t="str">
            <v>Baleno</v>
          </cell>
          <cell r="C43" t="str">
            <v>PETROL</v>
          </cell>
          <cell r="D43" t="str">
            <v>ICE</v>
          </cell>
        </row>
        <row r="44">
          <cell r="B44" t="str">
            <v>Brezza</v>
          </cell>
          <cell r="C44" t="str">
            <v>PETROL/CNG</v>
          </cell>
          <cell r="D44" t="str">
            <v>ICE</v>
          </cell>
        </row>
        <row r="45">
          <cell r="B45" t="str">
            <v>Celerio</v>
          </cell>
          <cell r="C45" t="str">
            <v>PETROL/CNG</v>
          </cell>
          <cell r="D45" t="str">
            <v>ICE</v>
          </cell>
        </row>
        <row r="46">
          <cell r="B46" t="str">
            <v>Ciaz</v>
          </cell>
          <cell r="C46" t="str">
            <v>PETROL/CNG</v>
          </cell>
          <cell r="D46" t="str">
            <v>ICE</v>
          </cell>
        </row>
        <row r="47">
          <cell r="B47" t="str">
            <v>Dzire</v>
          </cell>
          <cell r="C47" t="str">
            <v>PETROL/CNG</v>
          </cell>
          <cell r="D47" t="str">
            <v>ICE</v>
          </cell>
        </row>
        <row r="48">
          <cell r="B48" t="str">
            <v>Eeco</v>
          </cell>
          <cell r="C48" t="str">
            <v>PETROL/CNG</v>
          </cell>
          <cell r="D48" t="str">
            <v>ICE</v>
          </cell>
        </row>
        <row r="49">
          <cell r="B49" t="str">
            <v>Ertiga</v>
          </cell>
          <cell r="C49" t="str">
            <v>PETROL/CNG</v>
          </cell>
          <cell r="D49" t="str">
            <v>ICE</v>
          </cell>
        </row>
        <row r="50">
          <cell r="B50" t="str">
            <v>Fronx</v>
          </cell>
          <cell r="C50" t="str">
            <v>PETROL</v>
          </cell>
          <cell r="D50" t="str">
            <v>ICE</v>
          </cell>
        </row>
        <row r="51">
          <cell r="B51" t="str">
            <v>Grand Vitara</v>
          </cell>
          <cell r="C51" t="str">
            <v>PETROL/CNG</v>
          </cell>
          <cell r="D51" t="str">
            <v>ICE</v>
          </cell>
        </row>
        <row r="52">
          <cell r="B52" t="str">
            <v>Ignis</v>
          </cell>
          <cell r="C52" t="str">
            <v>PETROL</v>
          </cell>
          <cell r="D52" t="str">
            <v>ICE</v>
          </cell>
        </row>
        <row r="53">
          <cell r="B53" t="str">
            <v>Invicto</v>
          </cell>
          <cell r="C53" t="str">
            <v>PETROL/HYBRID</v>
          </cell>
          <cell r="D53" t="str">
            <v>ICE</v>
          </cell>
        </row>
        <row r="54">
          <cell r="B54" t="str">
            <v>Jimny</v>
          </cell>
          <cell r="C54" t="str">
            <v>PETROL</v>
          </cell>
          <cell r="D54" t="str">
            <v>ICE</v>
          </cell>
        </row>
        <row r="55">
          <cell r="B55" t="str">
            <v>S-Presso</v>
          </cell>
          <cell r="C55" t="str">
            <v>PETROL</v>
          </cell>
          <cell r="D55" t="str">
            <v>ICE</v>
          </cell>
        </row>
        <row r="56">
          <cell r="B56" t="str">
            <v>Swift</v>
          </cell>
          <cell r="C56" t="str">
            <v>PETROL/CNG</v>
          </cell>
          <cell r="D56" t="str">
            <v>ICE</v>
          </cell>
        </row>
        <row r="57">
          <cell r="B57" t="str">
            <v>WagonR</v>
          </cell>
          <cell r="C57" t="str">
            <v>PETROL/CNG</v>
          </cell>
          <cell r="D57" t="str">
            <v>ICE</v>
          </cell>
        </row>
        <row r="58">
          <cell r="B58" t="str">
            <v>XL6</v>
          </cell>
          <cell r="C58" t="str">
            <v>PETROL</v>
          </cell>
          <cell r="D58" t="str">
            <v>ICE</v>
          </cell>
        </row>
        <row r="59">
          <cell r="B59" t="str">
            <v>Astor</v>
          </cell>
          <cell r="C59" t="str">
            <v>PETROL</v>
          </cell>
          <cell r="D59" t="str">
            <v>ICE</v>
          </cell>
        </row>
        <row r="60">
          <cell r="B60" t="str">
            <v>Comet</v>
          </cell>
          <cell r="C60" t="str">
            <v>ELECTRIC</v>
          </cell>
          <cell r="D60" t="str">
            <v>EV</v>
          </cell>
        </row>
        <row r="61">
          <cell r="B61" t="str">
            <v>Gloster</v>
          </cell>
          <cell r="C61" t="str">
            <v>DIESEL</v>
          </cell>
          <cell r="D61" t="str">
            <v>ICE</v>
          </cell>
        </row>
        <row r="62">
          <cell r="B62" t="str">
            <v>Hector</v>
          </cell>
          <cell r="C62" t="str">
            <v>PETROL/DIESEL</v>
          </cell>
          <cell r="D62" t="str">
            <v>ICE</v>
          </cell>
        </row>
        <row r="63">
          <cell r="B63" t="str">
            <v>Windsor</v>
          </cell>
          <cell r="C63" t="str">
            <v>ELECTRIC</v>
          </cell>
          <cell r="D63" t="str">
            <v>EV</v>
          </cell>
        </row>
        <row r="64">
          <cell r="B64" t="str">
            <v>ZS EV</v>
          </cell>
          <cell r="C64" t="str">
            <v>ELECTRIC</v>
          </cell>
          <cell r="D64" t="str">
            <v>EV</v>
          </cell>
        </row>
        <row r="65">
          <cell r="B65" t="str">
            <v>X-Trail</v>
          </cell>
          <cell r="C65" t="str">
            <v>PETROL</v>
          </cell>
          <cell r="D65" t="str">
            <v>ICE</v>
          </cell>
        </row>
        <row r="66">
          <cell r="B66" t="str">
            <v>Magnite</v>
          </cell>
          <cell r="C66" t="str">
            <v>PETROL/CNG</v>
          </cell>
          <cell r="D66" t="str">
            <v>ICE</v>
          </cell>
        </row>
        <row r="67">
          <cell r="B67" t="str">
            <v>Kiger</v>
          </cell>
          <cell r="C67" t="str">
            <v>PETROL/CNG</v>
          </cell>
          <cell r="D67" t="str">
            <v>ICE</v>
          </cell>
        </row>
        <row r="68">
          <cell r="B68" t="str">
            <v>Kwid</v>
          </cell>
          <cell r="C68" t="str">
            <v>PETROL</v>
          </cell>
          <cell r="D68" t="str">
            <v>ICE</v>
          </cell>
        </row>
        <row r="69">
          <cell r="B69" t="str">
            <v>Triber</v>
          </cell>
          <cell r="C69" t="str">
            <v>PETROL/CNG</v>
          </cell>
          <cell r="D69" t="str">
            <v>ICE</v>
          </cell>
        </row>
        <row r="70">
          <cell r="B70" t="str">
            <v>Kodiaq</v>
          </cell>
          <cell r="C70" t="str">
            <v>PETROL</v>
          </cell>
          <cell r="D70" t="str">
            <v>ICE</v>
          </cell>
        </row>
        <row r="71">
          <cell r="B71" t="str">
            <v>Kushaq</v>
          </cell>
          <cell r="C71" t="str">
            <v>PETROL</v>
          </cell>
          <cell r="D71" t="str">
            <v>ICE</v>
          </cell>
        </row>
        <row r="72">
          <cell r="B72" t="str">
            <v>Kylaq</v>
          </cell>
          <cell r="C72" t="str">
            <v>PETROL</v>
          </cell>
          <cell r="D72" t="str">
            <v>ICE</v>
          </cell>
        </row>
        <row r="73">
          <cell r="B73" t="str">
            <v>Slavia</v>
          </cell>
          <cell r="C73" t="str">
            <v>PETROL</v>
          </cell>
          <cell r="D73" t="str">
            <v>ICE</v>
          </cell>
        </row>
        <row r="74">
          <cell r="B74" t="str">
            <v>Superb</v>
          </cell>
          <cell r="C74" t="str">
            <v>PETROL</v>
          </cell>
          <cell r="D74" t="str">
            <v>ICE</v>
          </cell>
        </row>
        <row r="75">
          <cell r="B75" t="str">
            <v>Altroz</v>
          </cell>
          <cell r="C75" t="str">
            <v>PETROL/DIESEL/CNG</v>
          </cell>
          <cell r="D75" t="str">
            <v>ICE</v>
          </cell>
        </row>
        <row r="76">
          <cell r="B76" t="str">
            <v>Curvv</v>
          </cell>
          <cell r="C76" t="str">
            <v>BOTH</v>
          </cell>
          <cell r="D76" t="str">
            <v>ICE/EV</v>
          </cell>
        </row>
        <row r="77">
          <cell r="B77" t="str">
            <v>Harrier</v>
          </cell>
          <cell r="C77" t="str">
            <v xml:space="preserve"> EV/DIESEL</v>
          </cell>
          <cell r="D77" t="str">
            <v>ICE/EV</v>
          </cell>
        </row>
        <row r="78">
          <cell r="B78" t="str">
            <v>Nexon</v>
          </cell>
          <cell r="C78" t="str">
            <v>BOTH</v>
          </cell>
          <cell r="D78" t="str">
            <v>ICE/EV</v>
          </cell>
        </row>
        <row r="79">
          <cell r="B79" t="str">
            <v>Punch</v>
          </cell>
          <cell r="C79" t="str">
            <v>EV/PETROL/CNG</v>
          </cell>
          <cell r="D79" t="str">
            <v>ICE/EV</v>
          </cell>
        </row>
        <row r="80">
          <cell r="B80" t="str">
            <v>Safari</v>
          </cell>
          <cell r="C80" t="str">
            <v>DIESEL/EV</v>
          </cell>
          <cell r="D80" t="str">
            <v>ICE/EV</v>
          </cell>
        </row>
        <row r="81">
          <cell r="B81" t="str">
            <v>Tiago</v>
          </cell>
          <cell r="C81" t="str">
            <v>EV/PETROL/CNG</v>
          </cell>
          <cell r="D81" t="str">
            <v>ICE/EV</v>
          </cell>
        </row>
        <row r="82">
          <cell r="B82" t="str">
            <v>Tigor</v>
          </cell>
          <cell r="C82" t="str">
            <v>EV/PETROL/CNG</v>
          </cell>
          <cell r="D82" t="str">
            <v>ICE/EV</v>
          </cell>
        </row>
        <row r="83">
          <cell r="B83" t="str">
            <v>Camry</v>
          </cell>
          <cell r="C83" t="str">
            <v>PETROL(HYBRID)</v>
          </cell>
          <cell r="D83" t="str">
            <v>ICE</v>
          </cell>
        </row>
        <row r="84">
          <cell r="B84" t="str">
            <v>Fortuner</v>
          </cell>
          <cell r="C84" t="str">
            <v>PETROL/DIESEL/HYBRID</v>
          </cell>
          <cell r="D84" t="str">
            <v>ICE</v>
          </cell>
        </row>
        <row r="85">
          <cell r="B85" t="str">
            <v>Glanza</v>
          </cell>
          <cell r="C85" t="str">
            <v>PETROL/CNG</v>
          </cell>
          <cell r="D85" t="str">
            <v>ICE</v>
          </cell>
        </row>
        <row r="86">
          <cell r="B86" t="str">
            <v>Hilux</v>
          </cell>
          <cell r="C86" t="str">
            <v>DIESEL</v>
          </cell>
          <cell r="D86" t="str">
            <v>ICE</v>
          </cell>
        </row>
        <row r="87">
          <cell r="B87" t="str">
            <v>Hyryder</v>
          </cell>
          <cell r="C87" t="str">
            <v>PETROL/HYBRID/CNG</v>
          </cell>
          <cell r="D87" t="str">
            <v>ICE</v>
          </cell>
        </row>
        <row r="88">
          <cell r="B88" t="str">
            <v>Innova Crysta, Innova Hycross</v>
          </cell>
          <cell r="C88" t="str">
            <v>DIESEL/PETROL/HYBRID</v>
          </cell>
          <cell r="D88" t="str">
            <v>ICE</v>
          </cell>
        </row>
        <row r="89">
          <cell r="B89" t="str">
            <v>Land Cruiser</v>
          </cell>
          <cell r="C89" t="str">
            <v>DIESEL</v>
          </cell>
          <cell r="D89" t="str">
            <v>ICE</v>
          </cell>
        </row>
        <row r="90">
          <cell r="B90" t="str">
            <v>Rumion</v>
          </cell>
          <cell r="C90" t="str">
            <v>PETROL</v>
          </cell>
          <cell r="D90" t="str">
            <v>ICE</v>
          </cell>
        </row>
        <row r="91">
          <cell r="B91" t="str">
            <v>Taisor</v>
          </cell>
          <cell r="C91" t="str">
            <v>PETROL</v>
          </cell>
          <cell r="D91" t="str">
            <v>ICE</v>
          </cell>
        </row>
        <row r="92">
          <cell r="B92" t="str">
            <v>Vellfire</v>
          </cell>
          <cell r="C92" t="str">
            <v>PETROL(HYBRID)</v>
          </cell>
          <cell r="D92" t="str">
            <v>ICE</v>
          </cell>
        </row>
        <row r="93">
          <cell r="B93" t="str">
            <v>Taigun</v>
          </cell>
          <cell r="C93" t="str">
            <v>PETROL</v>
          </cell>
          <cell r="D93" t="str">
            <v>ICE</v>
          </cell>
        </row>
        <row r="94">
          <cell r="B94" t="str">
            <v>Tiguan</v>
          </cell>
          <cell r="C94" t="str">
            <v>PETROL</v>
          </cell>
          <cell r="D94" t="str">
            <v>ICE</v>
          </cell>
        </row>
        <row r="95">
          <cell r="B95" t="str">
            <v>Virtus</v>
          </cell>
          <cell r="C95" t="str">
            <v>PETROL</v>
          </cell>
          <cell r="D95" t="str">
            <v>ICE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E750E-5C95-4BA6-B8B9-DD5ABA818954}" name="Table7" displayName="Table7" ref="A2:Y95" totalsRowShown="0" headerRowDxfId="27" dataDxfId="26" tableBorderDxfId="25">
  <autoFilter ref="A2:Y95" xr:uid="{1D7C4E10-38AB-4F1E-AFD5-8FDC587597F3}"/>
  <tableColumns count="25">
    <tableColumn id="1" xr3:uid="{767CC636-A523-40D0-9807-2F6FC6A918A5}" name="Make" dataDxfId="24"/>
    <tableColumn id="2" xr3:uid="{207739C1-6BB5-428F-99F0-16057329DF6C}" name="Model" dataDxfId="23"/>
    <tableColumn id="23" xr3:uid="{35C40D6B-5696-4B58-BFB2-F18377BEDB5C}" name="STATUS" dataDxfId="22"/>
    <tableColumn id="22" xr3:uid="{C7AA6DCA-5403-4C27-B642-A0E533C32CAA}" name="Mar-24" dataDxfId="21">
      <calculatedColumnFormula>VLOOKUP(Table7[[#This Row],[Model]],'[1]MAIN(CAR DATA SALES 2024'!$B$2:$E$88,4,FALSE)</calculatedColumnFormula>
    </tableColumn>
    <tableColumn id="3" xr3:uid="{061A15AB-9A24-42E4-BFF2-7948E1879902}" name="Apr-24" dataDxfId="20"/>
    <tableColumn id="4" xr3:uid="{D920A63D-97C6-4984-9EF4-530809993D48}" name="May-24" dataDxfId="19"/>
    <tableColumn id="5" xr3:uid="{18D6BF56-FFF1-4DBD-A73B-F87ABB022EAD}" name="Jun-24" dataDxfId="18"/>
    <tableColumn id="6" xr3:uid="{969112F8-5269-44A1-A901-45394279310F}" name="Jul-24" dataDxfId="17"/>
    <tableColumn id="7" xr3:uid="{B48B4E99-D146-4A17-9F39-404539019898}" name="Aug-24" dataDxfId="16"/>
    <tableColumn id="8" xr3:uid="{A4212444-6D5D-4726-A771-BEB27CB5973C}" name="Sep-24" dataDxfId="15"/>
    <tableColumn id="9" xr3:uid="{A49B5688-E301-4104-97AC-6B6083457A8A}" name="Oct-24" dataDxfId="14"/>
    <tableColumn id="10" xr3:uid="{D1C5FD9B-72EE-46BF-BF2D-D39468AC01B1}" name="Nov-24" dataDxfId="13"/>
    <tableColumn id="11" xr3:uid="{122F78A3-6E40-4086-BDA1-0EDE9ABBFFC5}" name="Dec-24" dataDxfId="12"/>
    <tableColumn id="12" xr3:uid="{487C2DC1-DA53-41D1-930A-6D978ADA6F76}" name="Jan-25" dataDxfId="11">
      <calculatedColumnFormula>VLOOKUP(Table7[[#This Row],[Model]],[1]!Table2[[Model]:[Mar-25]],2,FALSE)</calculatedColumnFormula>
    </tableColumn>
    <tableColumn id="13" xr3:uid="{63389734-3143-4525-8402-01538A909365}" name="Feb-25" dataDxfId="10">
      <calculatedColumnFormula>VLOOKUP(B3,'[1]CAR DATA SALES 2025'!$B$2:$E$94,3,FALSE)</calculatedColumnFormula>
    </tableColumn>
    <tableColumn id="14" xr3:uid="{EB9C0B56-AACA-4760-AB77-3E0DC28B5F9E}" name="Mar-25" dataDxfId="9">
      <calculatedColumnFormula>VLOOKUP(B3,'[1]CAR DATA SALES 2025'!$B$2:$E$94,4,FALSE)</calculatedColumnFormula>
    </tableColumn>
    <tableColumn id="15" xr3:uid="{8B9E1270-9D7E-41C8-9F27-FEF14DBFF1CA}" name="Total" dataDxfId="8">
      <calculatedColumnFormula>SUM(E3:P3)</calculatedColumnFormula>
    </tableColumn>
    <tableColumn id="16" xr3:uid="{D83FF404-83E6-41A5-AEAB-CF893D63B2F8}" name="Segment" dataDxfId="7"/>
    <tableColumn id="17" xr3:uid="{2EC76B9D-51A9-445B-9BC9-AF73E78F04BB}" name="FUEL TYPE" dataDxfId="6">
      <calculatedColumnFormula>VLOOKUP(B3,[1]WORKING!$B$2:$D$95,2,FALSE)</calculatedColumnFormula>
    </tableColumn>
    <tableColumn id="18" xr3:uid="{934D8A8A-AB3A-42F2-9267-FE1AAC08E09B}" name="ICE / EV" dataDxfId="5">
      <calculatedColumnFormula>VLOOKUP(B3,[1]WORKING!$B$2:$D$95,3,FALSE)</calculatedColumnFormula>
    </tableColumn>
    <tableColumn id="19" xr3:uid="{F9952092-C44E-4B1B-B5D2-F117673B6533}" name="Body" dataDxfId="4"/>
    <tableColumn id="20" xr3:uid="{7442F901-EB64-4F41-B35F-CF153E48928F}" name="MoM % -24-25" dataDxfId="3">
      <calculatedColumnFormula>IF(
         OR(O3=0,O3=""),"N/A",
         IF(ABS((P3-O3)/O3)&gt;2,"Base Effect",TEXT((P3-O3)/O3,"0.0%"))
      )</calculatedColumnFormula>
    </tableColumn>
    <tableColumn id="21" xr3:uid="{63A56A7E-B35E-41A8-BBB0-0602C7B8B0E9}" name="YoY %-24-25" dataDxfId="2">
      <calculatedColumnFormula>IF(
         OR(D3=0,D3=""),"N/A",
         IF(ABS((P3-D3)/D3)&gt;2,"Base Effect",TEXT((P3-D3)/D3,"0.0%"))
      )</calculatedColumnFormula>
    </tableColumn>
    <tableColumn id="24" xr3:uid="{E2DEC913-BECC-45A3-92CF-A78CC461D59C}" name="MoM % -23-24" dataDxfId="1">
      <calculatedColumnFormula>VLOOKUP(Table7[[#This Row],[Model]],[1]!Table1[[Model]:[YoY %]],19,FALSE)</calculatedColumnFormula>
    </tableColumn>
    <tableColumn id="25" xr3:uid="{070045E0-49C1-46AD-8276-4737DB24DD3B}" name="YoY %-23-24" dataDxfId="0">
      <calculatedColumnFormula>VLOOKUP(Table7[[#This Row],[Model]],[1]!Table1[[Model]:[YoY %]],20,FALSE)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40680-2816-498C-B14B-69C13B02B97B}">
  <dimension ref="A1:Y95"/>
  <sheetViews>
    <sheetView tabSelected="1" zoomScale="55" zoomScaleNormal="55" workbookViewId="0">
      <selection activeCell="K17" sqref="K17"/>
    </sheetView>
  </sheetViews>
  <sheetFormatPr defaultRowHeight="14.4" x14ac:dyDescent="0.3"/>
  <cols>
    <col min="1" max="1" width="20.44140625" bestFit="1" customWidth="1"/>
    <col min="2" max="2" width="43.5546875" bestFit="1" customWidth="1"/>
    <col min="3" max="3" width="26.44140625" customWidth="1"/>
    <col min="4" max="4" width="22" customWidth="1"/>
    <col min="5" max="5" width="19.88671875" bestFit="1" customWidth="1"/>
    <col min="6" max="6" width="20.88671875" bestFit="1" customWidth="1"/>
    <col min="7" max="7" width="37.6640625" customWidth="1"/>
    <col min="8" max="8" width="24" bestFit="1" customWidth="1"/>
    <col min="9" max="9" width="30.6640625" bestFit="1" customWidth="1"/>
    <col min="10" max="10" width="26.5546875" bestFit="1" customWidth="1"/>
    <col min="11" max="11" width="30.44140625" bestFit="1" customWidth="1"/>
    <col min="12" max="12" width="29.77734375" bestFit="1" customWidth="1"/>
    <col min="13" max="13" width="25.33203125" bestFit="1" customWidth="1"/>
    <col min="14" max="14" width="27.21875" bestFit="1" customWidth="1"/>
    <col min="15" max="15" width="22.88671875" bestFit="1" customWidth="1"/>
    <col min="16" max="16" width="20.21875" customWidth="1"/>
    <col min="17" max="17" width="22.5546875" bestFit="1" customWidth="1"/>
    <col min="18" max="18" width="37.77734375" bestFit="1" customWidth="1"/>
    <col min="19" max="19" width="41.5546875" bestFit="1" customWidth="1"/>
    <col min="20" max="20" width="24.5546875" bestFit="1" customWidth="1"/>
    <col min="21" max="21" width="25.109375" customWidth="1"/>
    <col min="22" max="22" width="22.5546875" customWidth="1"/>
    <col min="23" max="23" width="24.77734375" customWidth="1"/>
    <col min="24" max="24" width="22" customWidth="1"/>
    <col min="25" max="25" width="20.44140625" customWidth="1"/>
  </cols>
  <sheetData>
    <row r="1" spans="1:25" ht="31.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x14ac:dyDescent="0.3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</row>
    <row r="3" spans="1:25" x14ac:dyDescent="0.3">
      <c r="A3" s="4" t="s">
        <v>26</v>
      </c>
      <c r="B3" s="4" t="s">
        <v>27</v>
      </c>
      <c r="C3" s="4" t="s">
        <v>28</v>
      </c>
      <c r="D3" s="4"/>
      <c r="E3" s="4"/>
      <c r="F3" s="4"/>
      <c r="G3" s="4"/>
      <c r="H3" s="4"/>
      <c r="I3" s="4">
        <v>579</v>
      </c>
      <c r="J3" s="4">
        <v>341</v>
      </c>
      <c r="K3" s="4">
        <v>221</v>
      </c>
      <c r="L3" s="4">
        <v>47</v>
      </c>
      <c r="M3" s="4">
        <v>79</v>
      </c>
      <c r="N3" s="4">
        <f>VLOOKUP(Table7[[#This Row],[Model]],[1]!Table2[[Model]:[Mar-25]],2,FALSE)</f>
        <v>61</v>
      </c>
      <c r="O3" s="4">
        <f>VLOOKUP(B3,'[1]CAR DATA SALES 2025'!$B$2:$E$94,3,FALSE)</f>
        <v>37</v>
      </c>
      <c r="P3" s="4">
        <f>VLOOKUP(B3,'[1]CAR DATA SALES 2025'!$B$2:$E$94,4,FALSE)</f>
        <v>100</v>
      </c>
      <c r="Q3" s="4">
        <f>SUM(D3:P3)</f>
        <v>1465</v>
      </c>
      <c r="R3" s="4" t="s">
        <v>29</v>
      </c>
      <c r="S3" s="4" t="str">
        <f>VLOOKUP(B3,[1]WORKING!$B$2:$D$95,2,FALSE)</f>
        <v>PETROL</v>
      </c>
      <c r="T3" s="4" t="str">
        <f>VLOOKUP(B3,[1]WORKING!$B$2:$D$95,3,FALSE)</f>
        <v>ICE</v>
      </c>
      <c r="U3" s="4" t="s">
        <v>30</v>
      </c>
      <c r="V3" s="5" t="str">
        <f t="shared" ref="V3:V66" si="0">IF(
         OR(O3=0,O3=""),"N/A",
         IF(ABS((P3-O3)/O3)&gt;2,"Base Effect",TEXT((P3-O3)/O3,"0.0%"))
      )</f>
        <v>170.3%</v>
      </c>
      <c r="W3" s="5" t="str">
        <f t="shared" ref="W3:W66" si="1">IF(
         OR(D3=0,D3=""),"N/A",
         IF(ABS((P3-D3)/D3)&gt;2,"Base Effect",TEXT((P3-D3)/D3,"0.0%"))
      )</f>
        <v>N/A</v>
      </c>
      <c r="X3" s="6" t="str">
        <f>VLOOKUP(Table7[[#This Row],[Model]],[1]!Table1[[Model]:[YoY %]],19,FALSE)</f>
        <v>N/A</v>
      </c>
      <c r="Y3" s="6" t="str">
        <f>VLOOKUP(Table7[[#This Row],[Model]],[1]!Table1[[Model]:[YoY %]],20,FALSE)</f>
        <v>N/A</v>
      </c>
    </row>
    <row r="4" spans="1:25" x14ac:dyDescent="0.3">
      <c r="A4" s="4" t="s">
        <v>26</v>
      </c>
      <c r="B4" s="4" t="s">
        <v>31</v>
      </c>
      <c r="C4" s="4"/>
      <c r="D4" s="4">
        <f>VLOOKUP(Table7[[#This Row],[Model]],'[1]MAIN(CAR DATA SALES 2024'!$B$2:$E$88,4,FALSE)</f>
        <v>265</v>
      </c>
      <c r="E4" s="4">
        <v>251</v>
      </c>
      <c r="F4" s="4">
        <v>155</v>
      </c>
      <c r="G4" s="4">
        <v>77</v>
      </c>
      <c r="H4" s="4">
        <v>90</v>
      </c>
      <c r="I4" s="4">
        <v>507</v>
      </c>
      <c r="J4" s="4">
        <v>300</v>
      </c>
      <c r="K4" s="4">
        <v>300</v>
      </c>
      <c r="L4" s="4">
        <v>200</v>
      </c>
      <c r="M4" s="4">
        <v>300</v>
      </c>
      <c r="N4" s="4">
        <f>VLOOKUP(Table7[[#This Row],[Model]],[1]!Table2[[Model]:[Mar-25]],2,FALSE)</f>
        <v>242</v>
      </c>
      <c r="O4" s="4">
        <f>VLOOKUP(B4,'[1]CAR DATA SALES 2025'!$B$2:$E$94,3,FALSE)</f>
        <v>110</v>
      </c>
      <c r="P4" s="4">
        <f>VLOOKUP(B4,'[1]CAR DATA SALES 2025'!$B$2:$E$94,4,FALSE)</f>
        <v>120</v>
      </c>
      <c r="Q4" s="4">
        <f t="shared" ref="Q4:Q67" si="2">SUM(E4:P4)</f>
        <v>2652</v>
      </c>
      <c r="R4" s="4" t="s">
        <v>32</v>
      </c>
      <c r="S4" s="4" t="str">
        <f>VLOOKUP(B4,[1]WORKING!$B$2:$D$95,2,FALSE)</f>
        <v>PETROL/CNG</v>
      </c>
      <c r="T4" s="4" t="str">
        <f>VLOOKUP(B4,[1]WORKING!$B$2:$D$95,3,FALSE)</f>
        <v>ICE</v>
      </c>
      <c r="U4" s="4" t="s">
        <v>33</v>
      </c>
      <c r="V4" s="5" t="str">
        <f t="shared" si="0"/>
        <v>9.1%</v>
      </c>
      <c r="W4" s="5" t="str">
        <f t="shared" si="1"/>
        <v>-54.7%</v>
      </c>
      <c r="X4" s="6" t="str">
        <f>VLOOKUP(Table7[[#This Row],[Model]],[1]!Table1[[Model]:[YoY %]],19,FALSE)</f>
        <v>25.6%</v>
      </c>
      <c r="Y4" s="6" t="str">
        <f>VLOOKUP(Table7[[#This Row],[Model]],[1]!Table1[[Model]:[YoY %]],20,FALSE)</f>
        <v>-305.7%</v>
      </c>
    </row>
    <row r="5" spans="1:25" x14ac:dyDescent="0.3">
      <c r="A5" s="4" t="s">
        <v>26</v>
      </c>
      <c r="B5" s="4" t="s">
        <v>34</v>
      </c>
      <c r="C5" s="4"/>
      <c r="D5" s="4">
        <f>VLOOKUP(Table7[[#This Row],[Model]],'[1]MAIN(CAR DATA SALES 2024'!$B$2:$E$88,4,FALSE)</f>
        <v>211</v>
      </c>
      <c r="E5" s="4">
        <v>93</v>
      </c>
      <c r="F5" s="4">
        <v>125</v>
      </c>
      <c r="G5" s="4">
        <v>136</v>
      </c>
      <c r="H5" s="4">
        <v>68</v>
      </c>
      <c r="I5" s="4">
        <v>38</v>
      </c>
      <c r="J5" s="4">
        <v>41</v>
      </c>
      <c r="K5" s="4">
        <v>103</v>
      </c>
      <c r="L5" s="4">
        <v>201</v>
      </c>
      <c r="M5" s="4">
        <v>96</v>
      </c>
      <c r="N5" s="4">
        <f>VLOOKUP(Table7[[#This Row],[Model]],[1]!Table2[[Model]:[Mar-25]],2,FALSE)</f>
        <v>107</v>
      </c>
      <c r="O5" s="4">
        <f>VLOOKUP(B5,'[1]CAR DATA SALES 2025'!$B$2:$E$94,3,FALSE)</f>
        <v>43</v>
      </c>
      <c r="P5" s="4">
        <f>VLOOKUP(B5,'[1]CAR DATA SALES 2025'!$B$2:$E$94,4,FALSE)</f>
        <v>69</v>
      </c>
      <c r="Q5" s="4">
        <f t="shared" si="2"/>
        <v>1120</v>
      </c>
      <c r="R5" s="4" t="s">
        <v>29</v>
      </c>
      <c r="S5" s="4" t="str">
        <f>VLOOKUP(B5,[1]WORKING!$B$2:$D$95,2,FALSE)</f>
        <v>PETROL</v>
      </c>
      <c r="T5" s="4" t="str">
        <f>VLOOKUP(B5,[1]WORKING!$B$2:$D$95,3,FALSE)</f>
        <v>ICE</v>
      </c>
      <c r="U5" s="4" t="s">
        <v>30</v>
      </c>
      <c r="V5" s="5" t="str">
        <f t="shared" si="0"/>
        <v>60.5%</v>
      </c>
      <c r="W5" s="5" t="str">
        <f t="shared" si="1"/>
        <v>-67.3%</v>
      </c>
      <c r="X5" s="6" t="str">
        <f>VLOOKUP(Table7[[#This Row],[Model]],[1]!Table1[[Model]:[YoY %]],19,FALSE)</f>
        <v>66.1%</v>
      </c>
      <c r="Y5" s="6" t="str">
        <f>VLOOKUP(Table7[[#This Row],[Model]],[1]!Table1[[Model]:[YoY %]],20,FALSE)</f>
        <v>N/A</v>
      </c>
    </row>
    <row r="6" spans="1:25" x14ac:dyDescent="0.3">
      <c r="A6" s="4" t="s">
        <v>26</v>
      </c>
      <c r="B6" s="4" t="s">
        <v>35</v>
      </c>
      <c r="C6" s="4"/>
      <c r="D6" s="4">
        <f>VLOOKUP(Table7[[#This Row],[Model]],'[1]MAIN(CAR DATA SALES 2024'!$B$2:$E$88,4,FALSE)</f>
        <v>0</v>
      </c>
      <c r="E6" s="4">
        <v>1</v>
      </c>
      <c r="F6" s="4">
        <v>0</v>
      </c>
      <c r="G6" s="4">
        <v>0</v>
      </c>
      <c r="H6" s="4">
        <v>0</v>
      </c>
      <c r="I6" s="4">
        <v>1</v>
      </c>
      <c r="J6" s="4">
        <v>1</v>
      </c>
      <c r="K6" s="4">
        <v>4</v>
      </c>
      <c r="L6" s="4">
        <v>0</v>
      </c>
      <c r="M6" s="4">
        <v>1</v>
      </c>
      <c r="N6" s="4">
        <f>VLOOKUP(Table7[[#This Row],[Model]],[1]!Table2[[Model]:[Mar-25]],2,FALSE)</f>
        <v>0</v>
      </c>
      <c r="O6" s="4">
        <f>VLOOKUP(B6,'[1]CAR DATA SALES 2025'!$B$2:$E$94,3,FALSE)</f>
        <v>1</v>
      </c>
      <c r="P6" s="4">
        <f>VLOOKUP(B6,'[1]CAR DATA SALES 2025'!$B$2:$E$94,4,FALSE)</f>
        <v>0</v>
      </c>
      <c r="Q6" s="4">
        <f t="shared" si="2"/>
        <v>9</v>
      </c>
      <c r="R6" s="4" t="s">
        <v>36</v>
      </c>
      <c r="S6" s="4" t="str">
        <f>VLOOKUP(B6,[1]WORKING!$B$2:$D$95,2,FALSE)</f>
        <v>DIESEL</v>
      </c>
      <c r="T6" s="4" t="str">
        <f>VLOOKUP(B6,[1]WORKING!$B$2:$D$95,3,FALSE)</f>
        <v>ICE</v>
      </c>
      <c r="U6" s="4" t="s">
        <v>30</v>
      </c>
      <c r="V6" s="5" t="str">
        <f t="shared" si="0"/>
        <v>-100.0%</v>
      </c>
      <c r="W6" s="5" t="str">
        <f t="shared" si="1"/>
        <v>N/A</v>
      </c>
      <c r="X6" s="6" t="str">
        <f>VLOOKUP(Table7[[#This Row],[Model]],[1]!Table1[[Model]:[YoY %]],19,FALSE)</f>
        <v>N/A</v>
      </c>
      <c r="Y6" s="6" t="str">
        <f>VLOOKUP(Table7[[#This Row],[Model]],[1]!Table1[[Model]:[YoY %]],20,FALSE)</f>
        <v>N/A</v>
      </c>
    </row>
    <row r="7" spans="1:25" x14ac:dyDescent="0.3">
      <c r="A7" s="4" t="s">
        <v>26</v>
      </c>
      <c r="B7" s="4" t="s">
        <v>37</v>
      </c>
      <c r="C7" s="4"/>
      <c r="D7" s="4">
        <f>VLOOKUP(Table7[[#This Row],[Model]],'[1]MAIN(CAR DATA SALES 2024'!$B$2:$E$88,4,FALSE)</f>
        <v>530</v>
      </c>
      <c r="E7" s="4">
        <v>59</v>
      </c>
      <c r="F7" s="4">
        <v>235</v>
      </c>
      <c r="G7" s="4">
        <v>126</v>
      </c>
      <c r="H7" s="4">
        <v>177</v>
      </c>
      <c r="I7" s="4">
        <v>150</v>
      </c>
      <c r="J7" s="4">
        <v>28</v>
      </c>
      <c r="K7" s="4">
        <v>89</v>
      </c>
      <c r="L7" s="4">
        <v>61</v>
      </c>
      <c r="M7" s="4">
        <v>90</v>
      </c>
      <c r="N7" s="4">
        <f>VLOOKUP(Table7[[#This Row],[Model]],[1]!Table2[[Model]:[Mar-25]],2,FALSE)</f>
        <v>60</v>
      </c>
      <c r="O7" s="4">
        <f>VLOOKUP(B7,'[1]CAR DATA SALES 2025'!$B$2:$E$94,3,FALSE)</f>
        <v>77</v>
      </c>
      <c r="P7" s="4">
        <f>VLOOKUP(B7,'[1]CAR DATA SALES 2025'!$B$2:$E$94,4,FALSE)</f>
        <v>118</v>
      </c>
      <c r="Q7" s="4">
        <f t="shared" si="2"/>
        <v>1270</v>
      </c>
      <c r="R7" s="4" t="s">
        <v>32</v>
      </c>
      <c r="S7" s="4" t="str">
        <f>VLOOKUP(B7,[1]WORKING!$B$2:$D$95,2,FALSE)</f>
        <v>ELECTRIC</v>
      </c>
      <c r="T7" s="4" t="str">
        <f>VLOOKUP(B7,[1]WORKING!$B$2:$D$95,3,FALSE)</f>
        <v>EV</v>
      </c>
      <c r="U7" s="4" t="s">
        <v>30</v>
      </c>
      <c r="V7" s="5" t="str">
        <f t="shared" si="0"/>
        <v>53.2%</v>
      </c>
      <c r="W7" s="5" t="str">
        <f t="shared" si="1"/>
        <v>-77.7%</v>
      </c>
      <c r="X7" s="6" t="str">
        <f>VLOOKUP(Table7[[#This Row],[Model]],[1]!Table1[[Model]:[YoY %]],19,FALSE)</f>
        <v>Base Effect</v>
      </c>
      <c r="Y7" s="6" t="str">
        <f>VLOOKUP(Table7[[#This Row],[Model]],[1]!Table1[[Model]:[YoY %]],20,FALSE)</f>
        <v>-67.5%</v>
      </c>
    </row>
    <row r="8" spans="1:25" x14ac:dyDescent="0.3">
      <c r="A8" s="4" t="s">
        <v>38</v>
      </c>
      <c r="B8" s="4" t="s">
        <v>39</v>
      </c>
      <c r="C8" s="4"/>
      <c r="D8" s="4">
        <f>VLOOKUP(Table7[[#This Row],[Model]],'[1]MAIN(CAR DATA SALES 2024'!$B$2:$E$88,4,FALSE)</f>
        <v>2678</v>
      </c>
      <c r="E8" s="7">
        <v>1796</v>
      </c>
      <c r="F8" s="7">
        <v>2215</v>
      </c>
      <c r="G8" s="7">
        <v>1794</v>
      </c>
      <c r="H8" s="7">
        <v>2327</v>
      </c>
      <c r="I8" s="7">
        <v>2585</v>
      </c>
      <c r="J8" s="7">
        <v>2820</v>
      </c>
      <c r="K8" s="7">
        <v>2393</v>
      </c>
      <c r="L8" s="7">
        <v>2628</v>
      </c>
      <c r="M8" s="7">
        <v>3708</v>
      </c>
      <c r="N8" s="4">
        <f>VLOOKUP(Table7[[#This Row],[Model]],[1]!Table2[[Model]:[Mar-25]],2,FALSE)</f>
        <v>3591</v>
      </c>
      <c r="O8" s="4">
        <f>VLOOKUP(B8,'[1]CAR DATA SALES 2025'!$B$2:$E$94,3,FALSE)</f>
        <v>3263</v>
      </c>
      <c r="P8" s="4">
        <f>VLOOKUP(B8,'[1]CAR DATA SALES 2025'!$B$2:$E$94,4,FALSE)</f>
        <v>3583</v>
      </c>
      <c r="Q8" s="4">
        <f t="shared" si="2"/>
        <v>32703</v>
      </c>
      <c r="R8" s="4" t="s">
        <v>32</v>
      </c>
      <c r="S8" s="4" t="str">
        <f>VLOOKUP(B8,[1]WORKING!$B$2:$D$95,2,FALSE)</f>
        <v>PETROL</v>
      </c>
      <c r="T8" s="4" t="str">
        <f>VLOOKUP(B8,[1]WORKING!$B$2:$D$95,3,FALSE)</f>
        <v>ICE</v>
      </c>
      <c r="U8" s="4" t="s">
        <v>40</v>
      </c>
      <c r="V8" s="5" t="str">
        <f t="shared" si="0"/>
        <v>9.8%</v>
      </c>
      <c r="W8" s="5" t="str">
        <f t="shared" si="1"/>
        <v>33.8%</v>
      </c>
      <c r="X8" s="6" t="str">
        <f>VLOOKUP(Table7[[#This Row],[Model]],[1]!Table1[[Model]:[YoY %]],19,FALSE)</f>
        <v>-3.5%</v>
      </c>
      <c r="Y8" s="6" t="str">
        <f>VLOOKUP(Table7[[#This Row],[Model]],[1]!Table1[[Model]:[YoY %]],20,FALSE)</f>
        <v>-49.2%</v>
      </c>
    </row>
    <row r="9" spans="1:25" x14ac:dyDescent="0.3">
      <c r="A9" s="4" t="s">
        <v>38</v>
      </c>
      <c r="B9" s="4" t="s">
        <v>41</v>
      </c>
      <c r="C9" s="4"/>
      <c r="D9" s="4">
        <f>VLOOKUP(Table7[[#This Row],[Model]],'[1]MAIN(CAR DATA SALES 2024'!$B$2:$E$88,4,FALSE)</f>
        <v>1116</v>
      </c>
      <c r="E9" s="4">
        <v>824</v>
      </c>
      <c r="F9" s="7">
        <v>1054</v>
      </c>
      <c r="G9" s="4">
        <v>859</v>
      </c>
      <c r="H9" s="4">
        <v>957</v>
      </c>
      <c r="I9" s="7">
        <v>1018</v>
      </c>
      <c r="J9" s="4">
        <v>895</v>
      </c>
      <c r="K9" s="7">
        <v>1004</v>
      </c>
      <c r="L9" s="4">
        <v>709</v>
      </c>
      <c r="M9" s="4">
        <v>783</v>
      </c>
      <c r="N9" s="4">
        <f>VLOOKUP(Table7[[#This Row],[Model]],[1]!Table2[[Model]:[Mar-25]],2,FALSE)</f>
        <v>739</v>
      </c>
      <c r="O9" s="4">
        <f>VLOOKUP(B9,'[1]CAR DATA SALES 2025'!$B$2:$E$94,3,FALSE)</f>
        <v>889</v>
      </c>
      <c r="P9" s="4">
        <f>VLOOKUP(B9,'[1]CAR DATA SALES 2025'!$B$2:$E$94,4,FALSE)</f>
        <v>1170</v>
      </c>
      <c r="Q9" s="4">
        <f t="shared" si="2"/>
        <v>10901</v>
      </c>
      <c r="R9" s="4" t="s">
        <v>29</v>
      </c>
      <c r="S9" s="4" t="str">
        <f>VLOOKUP(B9,[1]WORKING!$B$2:$D$95,2,FALSE)</f>
        <v>PETROL</v>
      </c>
      <c r="T9" s="4" t="str">
        <f>VLOOKUP(B9,[1]WORKING!$B$2:$D$95,3,FALSE)</f>
        <v>ICE</v>
      </c>
      <c r="U9" s="4" t="s">
        <v>40</v>
      </c>
      <c r="V9" s="5" t="str">
        <f t="shared" si="0"/>
        <v>31.6%</v>
      </c>
      <c r="W9" s="5" t="str">
        <f t="shared" si="1"/>
        <v>4.8%</v>
      </c>
      <c r="X9" s="6" t="str">
        <f>VLOOKUP(Table7[[#This Row],[Model]],[1]!Table1[[Model]:[YoY %]],19,FALSE)</f>
        <v>-5.7%</v>
      </c>
      <c r="Y9" s="6" t="str">
        <f>VLOOKUP(Table7[[#This Row],[Model]],[1]!Table1[[Model]:[YoY %]],20,FALSE)</f>
        <v>-141.3%</v>
      </c>
    </row>
    <row r="10" spans="1:25" x14ac:dyDescent="0.3">
      <c r="A10" s="4" t="s">
        <v>38</v>
      </c>
      <c r="B10" s="4" t="s">
        <v>42</v>
      </c>
      <c r="C10" s="4"/>
      <c r="D10" s="4">
        <f>VLOOKUP(Table7[[#This Row],[Model]],'[1]MAIN(CAR DATA SALES 2024'!$B$2:$E$88,4,FALSE)</f>
        <v>3277</v>
      </c>
      <c r="E10" s="7">
        <v>1731</v>
      </c>
      <c r="F10" s="7">
        <v>1553</v>
      </c>
      <c r="G10" s="7">
        <v>2151</v>
      </c>
      <c r="H10" s="7">
        <v>1340</v>
      </c>
      <c r="I10" s="7">
        <v>1723</v>
      </c>
      <c r="J10" s="7">
        <v>1960</v>
      </c>
      <c r="K10" s="7">
        <v>2149</v>
      </c>
      <c r="L10" s="7">
        <v>1668</v>
      </c>
      <c r="M10" s="7">
        <v>2334</v>
      </c>
      <c r="N10" s="4">
        <f>VLOOKUP(Table7[[#This Row],[Model]],[1]!Table2[[Model]:[Mar-25]],2,FALSE)</f>
        <v>1773</v>
      </c>
      <c r="O10" s="4">
        <f>VLOOKUP(B10,'[1]CAR DATA SALES 2025'!$B$2:$E$94,3,FALSE)</f>
        <v>1464</v>
      </c>
      <c r="P10" s="4">
        <f>VLOOKUP(B10,'[1]CAR DATA SALES 2025'!$B$2:$E$94,4,FALSE)</f>
        <v>2475</v>
      </c>
      <c r="Q10" s="4">
        <f t="shared" si="2"/>
        <v>22321</v>
      </c>
      <c r="R10" s="4" t="s">
        <v>29</v>
      </c>
      <c r="S10" s="4" t="str">
        <f>VLOOKUP(B10,[1]WORKING!$B$2:$D$95,2,FALSE)</f>
        <v>PETROL</v>
      </c>
      <c r="T10" s="4" t="str">
        <f>VLOOKUP(B10,[1]WORKING!$B$2:$D$95,3,FALSE)</f>
        <v>ICE</v>
      </c>
      <c r="U10" s="4" t="s">
        <v>30</v>
      </c>
      <c r="V10" s="5" t="str">
        <f t="shared" si="0"/>
        <v>69.1%</v>
      </c>
      <c r="W10" s="5" t="str">
        <f t="shared" si="1"/>
        <v>-24.5%</v>
      </c>
      <c r="X10" s="6" t="str">
        <f>VLOOKUP(Table7[[#This Row],[Model]],[1]!Table1[[Model]:[YoY %]],19,FALSE)</f>
        <v>2.9%</v>
      </c>
      <c r="Y10" s="6" t="str">
        <f>VLOOKUP(Table7[[#This Row],[Model]],[1]!Table1[[Model]:[YoY %]],20,FALSE)</f>
        <v>N/A</v>
      </c>
    </row>
    <row r="11" spans="1:25" x14ac:dyDescent="0.3">
      <c r="A11" s="4" t="s">
        <v>43</v>
      </c>
      <c r="B11" s="4" t="s">
        <v>44</v>
      </c>
      <c r="C11" s="4"/>
      <c r="D11" s="4">
        <f>VLOOKUP(Table7[[#This Row],[Model]],'[1]MAIN(CAR DATA SALES 2024'!$B$2:$E$88,4,FALSE)</f>
        <v>4883</v>
      </c>
      <c r="E11" s="7">
        <v>4526</v>
      </c>
      <c r="F11" s="7">
        <v>4433</v>
      </c>
      <c r="G11" s="7">
        <v>4299</v>
      </c>
      <c r="H11" s="7">
        <v>4757</v>
      </c>
      <c r="I11" s="7">
        <v>4304</v>
      </c>
      <c r="J11" s="7">
        <v>4462</v>
      </c>
      <c r="K11" s="7">
        <v>4805</v>
      </c>
      <c r="L11" s="7">
        <v>4248</v>
      </c>
      <c r="M11" s="7">
        <v>3852</v>
      </c>
      <c r="N11" s="4">
        <f>VLOOKUP(Table7[[#This Row],[Model]],[1]!Table2[[Model]:[Mar-25]],2,FALSE)</f>
        <v>5388</v>
      </c>
      <c r="O11" s="4">
        <f>VLOOKUP(B11,'[1]CAR DATA SALES 2025'!$B$2:$E$94,3,FALSE)</f>
        <v>4797</v>
      </c>
      <c r="P11" s="4">
        <f>VLOOKUP(B11,'[1]CAR DATA SALES 2025'!$B$2:$E$94,4,FALSE)</f>
        <v>5074</v>
      </c>
      <c r="Q11" s="4">
        <f t="shared" si="2"/>
        <v>54945</v>
      </c>
      <c r="R11" s="4" t="s">
        <v>32</v>
      </c>
      <c r="S11" s="4" t="str">
        <f>VLOOKUP(B11,[1]WORKING!$B$2:$D$95,2,FALSE)</f>
        <v>PETROL</v>
      </c>
      <c r="T11" s="4" t="str">
        <f>VLOOKUP(B11,[1]WORKING!$B$2:$D$95,3,FALSE)</f>
        <v>ICE</v>
      </c>
      <c r="U11" s="4" t="s">
        <v>40</v>
      </c>
      <c r="V11" s="5" t="str">
        <f t="shared" si="0"/>
        <v>5.8%</v>
      </c>
      <c r="W11" s="5" t="str">
        <f t="shared" si="1"/>
        <v>3.9%</v>
      </c>
      <c r="X11" s="6" t="str">
        <f>VLOOKUP(Table7[[#This Row],[Model]],[1]!Table1[[Model]:[YoY %]],19,FALSE)</f>
        <v>N/A</v>
      </c>
      <c r="Y11" s="6" t="str">
        <f>VLOOKUP(Table7[[#This Row],[Model]],[1]!Table1[[Model]:[YoY %]],20,FALSE)</f>
        <v>N/A</v>
      </c>
    </row>
    <row r="12" spans="1:25" x14ac:dyDescent="0.3">
      <c r="A12" s="4" t="s">
        <v>43</v>
      </c>
      <c r="B12" s="4" t="s">
        <v>45</v>
      </c>
      <c r="C12" s="4"/>
      <c r="D12" s="4">
        <f>VLOOKUP(Table7[[#This Row],[Model]],'[1]MAIN(CAR DATA SALES 2024'!$B$2:$E$88,4,FALSE)</f>
        <v>1420</v>
      </c>
      <c r="E12" s="7">
        <v>1219</v>
      </c>
      <c r="F12" s="4">
        <v>944</v>
      </c>
      <c r="G12" s="4">
        <v>882</v>
      </c>
      <c r="H12" s="4">
        <v>585</v>
      </c>
      <c r="I12" s="7">
        <v>1105</v>
      </c>
      <c r="J12" s="7">
        <v>2712</v>
      </c>
      <c r="K12" s="7">
        <v>2204</v>
      </c>
      <c r="L12" s="7">
        <v>2134</v>
      </c>
      <c r="M12" s="7">
        <v>1342</v>
      </c>
      <c r="N12" s="4">
        <f>VLOOKUP(Table7[[#This Row],[Model]],[1]!Table2[[Model]:[Mar-25]],2,FALSE)</f>
        <v>1310</v>
      </c>
      <c r="O12" s="4">
        <f>VLOOKUP(B12,'[1]CAR DATA SALES 2025'!$B$2:$E$94,3,FALSE)</f>
        <v>1264</v>
      </c>
      <c r="P12" s="4">
        <f>VLOOKUP(B12,'[1]CAR DATA SALES 2025'!$B$2:$E$94,4,FALSE)</f>
        <v>1431</v>
      </c>
      <c r="Q12" s="4">
        <f t="shared" si="2"/>
        <v>17132</v>
      </c>
      <c r="R12" s="4" t="s">
        <v>29</v>
      </c>
      <c r="S12" s="4" t="str">
        <f>VLOOKUP(B12,[1]WORKING!$B$2:$D$95,2,FALSE)</f>
        <v>PETROL/DIESEL</v>
      </c>
      <c r="T12" s="4" t="str">
        <f>VLOOKUP(B12,[1]WORKING!$B$2:$D$95,3,FALSE)</f>
        <v>ICE</v>
      </c>
      <c r="U12" s="4" t="s">
        <v>46</v>
      </c>
      <c r="V12" s="5" t="str">
        <f t="shared" si="0"/>
        <v>13.2%</v>
      </c>
      <c r="W12" s="5" t="str">
        <f t="shared" si="1"/>
        <v>0.8%</v>
      </c>
      <c r="X12" s="6" t="str">
        <f>VLOOKUP(Table7[[#This Row],[Model]],[1]!Table1[[Model]:[YoY %]],19,FALSE)</f>
        <v>10.1%</v>
      </c>
      <c r="Y12" s="6" t="str">
        <f>VLOOKUP(Table7[[#This Row],[Model]],[1]!Table1[[Model]:[YoY %]],20,FALSE)</f>
        <v>-77.4%</v>
      </c>
    </row>
    <row r="13" spans="1:25" x14ac:dyDescent="0.3">
      <c r="A13" s="4" t="s">
        <v>43</v>
      </c>
      <c r="B13" s="4" t="s">
        <v>47</v>
      </c>
      <c r="C13" s="4"/>
      <c r="D13" s="4">
        <f>VLOOKUP(Table7[[#This Row],[Model]],'[1]MAIN(CAR DATA SALES 2024'!$B$2:$E$88,4,FALSE)</f>
        <v>16458</v>
      </c>
      <c r="E13" s="7">
        <v>15447</v>
      </c>
      <c r="F13" s="7">
        <v>14662</v>
      </c>
      <c r="G13" s="7">
        <v>16293</v>
      </c>
      <c r="H13" s="7">
        <v>17350</v>
      </c>
      <c r="I13" s="7">
        <v>16762</v>
      </c>
      <c r="J13" s="7">
        <v>15902</v>
      </c>
      <c r="K13" s="7">
        <v>17497</v>
      </c>
      <c r="L13" s="7">
        <v>15452</v>
      </c>
      <c r="M13" s="7">
        <v>12608</v>
      </c>
      <c r="N13" s="4">
        <f>VLOOKUP(Table7[[#This Row],[Model]],[1]!Table2[[Model]:[Mar-25]],2,FALSE)</f>
        <v>18522</v>
      </c>
      <c r="O13" s="4">
        <f>VLOOKUP(B13,'[1]CAR DATA SALES 2025'!$B$2:$E$94,3,FALSE)</f>
        <v>16317</v>
      </c>
      <c r="P13" s="4">
        <f>VLOOKUP(B13,'[1]CAR DATA SALES 2025'!$B$2:$E$94,4,FALSE)</f>
        <v>18059</v>
      </c>
      <c r="Q13" s="4">
        <f t="shared" si="2"/>
        <v>194871</v>
      </c>
      <c r="R13" s="4" t="s">
        <v>29</v>
      </c>
      <c r="S13" s="4" t="str">
        <f>VLOOKUP(B13,[1]WORKING!$B$2:$D$95,2,FALSE)</f>
        <v>PETROL/DIESEL</v>
      </c>
      <c r="T13" s="4" t="str">
        <f>VLOOKUP(B13,[1]WORKING!$B$2:$D$95,3,FALSE)</f>
        <v>ICE</v>
      </c>
      <c r="U13" s="4" t="s">
        <v>30</v>
      </c>
      <c r="V13" s="5" t="str">
        <f t="shared" si="0"/>
        <v>10.7%</v>
      </c>
      <c r="W13" s="5" t="str">
        <f t="shared" si="1"/>
        <v>9.7%</v>
      </c>
      <c r="X13" s="6" t="str">
        <f>VLOOKUP(Table7[[#This Row],[Model]],[1]!Table1[[Model]:[YoY %]],19,FALSE)</f>
        <v>7.7%</v>
      </c>
      <c r="Y13" s="6" t="str">
        <f>VLOOKUP(Table7[[#This Row],[Model]],[1]!Table1[[Model]:[YoY %]],20,FALSE)</f>
        <v>14.8%</v>
      </c>
    </row>
    <row r="14" spans="1:25" x14ac:dyDescent="0.3">
      <c r="A14" s="4" t="s">
        <v>43</v>
      </c>
      <c r="B14" s="4" t="s">
        <v>48</v>
      </c>
      <c r="C14" s="4"/>
      <c r="D14" s="4">
        <f>VLOOKUP(Table7[[#This Row],[Model]],'[1]MAIN(CAR DATA SALES 2024'!$B$2:$E$88,4,FALSE)</f>
        <v>8475</v>
      </c>
      <c r="E14" s="7">
        <v>7756</v>
      </c>
      <c r="F14" s="7">
        <v>7697</v>
      </c>
      <c r="G14" s="7">
        <v>6908</v>
      </c>
      <c r="H14" s="7">
        <v>6037</v>
      </c>
      <c r="I14" s="7">
        <v>6632</v>
      </c>
      <c r="J14" s="7">
        <v>6908</v>
      </c>
      <c r="K14" s="7">
        <v>7127</v>
      </c>
      <c r="L14" s="7">
        <v>5747</v>
      </c>
      <c r="M14" s="7">
        <v>5270</v>
      </c>
      <c r="N14" s="4">
        <f>VLOOKUP(Table7[[#This Row],[Model]],[1]!Table2[[Model]:[Mar-25]],2,FALSE)</f>
        <v>6068</v>
      </c>
      <c r="O14" s="4">
        <f>VLOOKUP(B14,'[1]CAR DATA SALES 2025'!$B$2:$E$94,3,FALSE)</f>
        <v>5361</v>
      </c>
      <c r="P14" s="4">
        <f>VLOOKUP(B14,'[1]CAR DATA SALES 2025'!$B$2:$E$94,4,FALSE)</f>
        <v>5901</v>
      </c>
      <c r="Q14" s="4">
        <f t="shared" si="2"/>
        <v>77412</v>
      </c>
      <c r="R14" s="4" t="s">
        <v>32</v>
      </c>
      <c r="S14" s="4" t="str">
        <f>VLOOKUP(B14,[1]WORKING!$B$2:$D$95,2,FALSE)</f>
        <v>PETROL</v>
      </c>
      <c r="T14" s="4" t="str">
        <f>VLOOKUP(B14,[1]WORKING!$B$2:$D$95,3,FALSE)</f>
        <v>ICE</v>
      </c>
      <c r="U14" s="4" t="s">
        <v>30</v>
      </c>
      <c r="V14" s="5" t="str">
        <f t="shared" si="0"/>
        <v>10.1%</v>
      </c>
      <c r="W14" s="5" t="str">
        <f t="shared" si="1"/>
        <v>-30.4%</v>
      </c>
      <c r="X14" s="6" t="str">
        <f>VLOOKUP(Table7[[#This Row],[Model]],[1]!Table1[[Model]:[YoY %]],19,FALSE)</f>
        <v>11.8%</v>
      </c>
      <c r="Y14" s="6" t="str">
        <f>VLOOKUP(Table7[[#This Row],[Model]],[1]!Table1[[Model]:[YoY %]],20,FALSE)</f>
        <v>N/A</v>
      </c>
    </row>
    <row r="15" spans="1:25" x14ac:dyDescent="0.3">
      <c r="A15" s="4" t="s">
        <v>43</v>
      </c>
      <c r="B15" s="4" t="s">
        <v>49</v>
      </c>
      <c r="C15" s="4"/>
      <c r="D15" s="4">
        <f>VLOOKUP(Table7[[#This Row],[Model]],'[1]MAIN(CAR DATA SALES 2024'!$B$2:$E$88,4,FALSE)</f>
        <v>5034</v>
      </c>
      <c r="E15" s="7">
        <v>5117</v>
      </c>
      <c r="F15" s="7">
        <v>5328</v>
      </c>
      <c r="G15" s="7">
        <v>4948</v>
      </c>
      <c r="H15" s="7">
        <v>4922</v>
      </c>
      <c r="I15" s="7">
        <v>5365</v>
      </c>
      <c r="J15" s="7">
        <v>5103</v>
      </c>
      <c r="K15" s="7">
        <v>6235</v>
      </c>
      <c r="L15" s="7">
        <v>5667</v>
      </c>
      <c r="M15" s="7">
        <v>4489</v>
      </c>
      <c r="N15" s="4">
        <f>VLOOKUP(Table7[[#This Row],[Model]],[1]!Table2[[Model]:[Mar-25]],2,FALSE)</f>
        <v>5311</v>
      </c>
      <c r="O15" s="4">
        <f>VLOOKUP(B15,'[1]CAR DATA SALES 2025'!$B$2:$E$94,3,FALSE)</f>
        <v>4940</v>
      </c>
      <c r="P15" s="4">
        <f>VLOOKUP(B15,'[1]CAR DATA SALES 2025'!$B$2:$E$94,4,FALSE)</f>
        <v>4990</v>
      </c>
      <c r="Q15" s="4">
        <f t="shared" si="2"/>
        <v>62415</v>
      </c>
      <c r="R15" s="4" t="s">
        <v>50</v>
      </c>
      <c r="S15" s="4" t="str">
        <f>VLOOKUP(B15,[1]WORKING!$B$2:$D$95,2,FALSE)</f>
        <v>PETROL</v>
      </c>
      <c r="T15" s="4" t="str">
        <f>VLOOKUP(B15,[1]WORKING!$B$2:$D$95,3,FALSE)</f>
        <v>ICE</v>
      </c>
      <c r="U15" s="4" t="s">
        <v>33</v>
      </c>
      <c r="V15" s="5" t="str">
        <f t="shared" si="0"/>
        <v>1.0%</v>
      </c>
      <c r="W15" s="5" t="str">
        <f t="shared" si="1"/>
        <v>-0.9%</v>
      </c>
      <c r="X15" s="6" t="str">
        <f>VLOOKUP(Table7[[#This Row],[Model]],[1]!Table1[[Model]:[YoY %]],19,FALSE)</f>
        <v>1.8%</v>
      </c>
      <c r="Y15" s="6" t="str">
        <f>VLOOKUP(Table7[[#This Row],[Model]],[1]!Table1[[Model]:[YoY %]],20,FALSE)</f>
        <v>-84.8%</v>
      </c>
    </row>
    <row r="16" spans="1:25" x14ac:dyDescent="0.3">
      <c r="A16" s="4" t="s">
        <v>43</v>
      </c>
      <c r="B16" s="4" t="s">
        <v>51</v>
      </c>
      <c r="C16" s="4"/>
      <c r="D16" s="4">
        <f>VLOOKUP(Table7[[#This Row],[Model]],'[1]MAIN(CAR DATA SALES 2024'!$B$2:$E$88,4,FALSE)</f>
        <v>5155</v>
      </c>
      <c r="E16" s="7">
        <v>5899</v>
      </c>
      <c r="F16" s="7">
        <v>5169</v>
      </c>
      <c r="G16" s="7">
        <v>5315</v>
      </c>
      <c r="H16" s="7">
        <v>4937</v>
      </c>
      <c r="I16" s="7">
        <v>4913</v>
      </c>
      <c r="J16" s="7">
        <v>4428</v>
      </c>
      <c r="K16" s="7">
        <v>5354</v>
      </c>
      <c r="L16" s="7">
        <v>3925</v>
      </c>
      <c r="M16" s="7">
        <v>3453</v>
      </c>
      <c r="N16" s="4">
        <f>VLOOKUP(Table7[[#This Row],[Model]],[1]!Table2[[Model]:[Mar-25]],2,FALSE)</f>
        <v>4741</v>
      </c>
      <c r="O16" s="4">
        <f>VLOOKUP(B16,'[1]CAR DATA SALES 2025'!$B$2:$E$94,3,FALSE)</f>
        <v>3627</v>
      </c>
      <c r="P16" s="4">
        <f>VLOOKUP(B16,'[1]CAR DATA SALES 2025'!$B$2:$E$94,4,FALSE)</f>
        <v>4452</v>
      </c>
      <c r="Q16" s="4">
        <f t="shared" si="2"/>
        <v>56213</v>
      </c>
      <c r="R16" s="4" t="s">
        <v>50</v>
      </c>
      <c r="S16" s="4" t="str">
        <f>VLOOKUP(B16,[1]WORKING!$B$2:$D$95,2,FALSE)</f>
        <v>PETROL</v>
      </c>
      <c r="T16" s="4" t="str">
        <f>VLOOKUP(B16,[1]WORKING!$B$2:$D$95,3,FALSE)</f>
        <v>ICE</v>
      </c>
      <c r="U16" s="4" t="s">
        <v>33</v>
      </c>
      <c r="V16" s="5" t="str">
        <f t="shared" si="0"/>
        <v>22.7%</v>
      </c>
      <c r="W16" s="5" t="str">
        <f t="shared" si="1"/>
        <v>-13.6%</v>
      </c>
      <c r="X16" s="6" t="str">
        <f>VLOOKUP(Table7[[#This Row],[Model]],[1]!Table1[[Model]:[YoY %]],19,FALSE)</f>
        <v>0.5%</v>
      </c>
      <c r="Y16" s="6" t="str">
        <f>VLOOKUP(Table7[[#This Row],[Model]],[1]!Table1[[Model]:[YoY %]],20,FALSE)</f>
        <v>-28.0%</v>
      </c>
    </row>
    <row r="17" spans="1:25" x14ac:dyDescent="0.3">
      <c r="A17" s="4" t="s">
        <v>43</v>
      </c>
      <c r="B17" s="4" t="s">
        <v>52</v>
      </c>
      <c r="C17" s="4"/>
      <c r="D17" s="4">
        <f>VLOOKUP(Table7[[#This Row],[Model]],'[1]MAIN(CAR DATA SALES 2024'!$B$2:$E$88,4,FALSE)</f>
        <v>65</v>
      </c>
      <c r="E17" s="7">
        <v>45</v>
      </c>
      <c r="F17" s="7">
        <v>42</v>
      </c>
      <c r="G17" s="7">
        <v>30</v>
      </c>
      <c r="H17" s="4">
        <v>36</v>
      </c>
      <c r="I17" s="4">
        <v>40</v>
      </c>
      <c r="J17" s="4">
        <v>31</v>
      </c>
      <c r="K17" s="4">
        <v>32</v>
      </c>
      <c r="L17" s="4">
        <v>22</v>
      </c>
      <c r="M17" s="4">
        <v>24</v>
      </c>
      <c r="N17" s="4">
        <f>VLOOKUP(Table7[[#This Row],[Model]],[1]!Table2[[Model]:[Mar-25]],2,FALSE)</f>
        <v>16</v>
      </c>
      <c r="O17" s="4">
        <f>VLOOKUP(B17,'[1]CAR DATA SALES 2025'!$B$2:$E$94,3,FALSE)</f>
        <v>16</v>
      </c>
      <c r="P17" s="4">
        <f>VLOOKUP(B17,'[1]CAR DATA SALES 2025'!$B$2:$E$94,4,FALSE)</f>
        <v>19</v>
      </c>
      <c r="Q17" s="4">
        <f t="shared" si="2"/>
        <v>353</v>
      </c>
      <c r="R17" s="4" t="s">
        <v>53</v>
      </c>
      <c r="S17" s="4" t="str">
        <f>VLOOKUP(B17,[1]WORKING!$B$2:$D$95,2,FALSE)</f>
        <v>ELECTRIC</v>
      </c>
      <c r="T17" s="4" t="str">
        <f>VLOOKUP(B17,[1]WORKING!$B$2:$D$95,3,FALSE)</f>
        <v>EV</v>
      </c>
      <c r="U17" s="4" t="s">
        <v>30</v>
      </c>
      <c r="V17" s="5" t="str">
        <f t="shared" si="0"/>
        <v>18.8%</v>
      </c>
      <c r="W17" s="5" t="str">
        <f t="shared" si="1"/>
        <v>-70.8%</v>
      </c>
      <c r="X17" s="6" t="str">
        <f>VLOOKUP(Table7[[#This Row],[Model]],[1]!Table1[[Model]:[YoY %]],19,FALSE)</f>
        <v>-1.5%</v>
      </c>
      <c r="Y17" s="6" t="str">
        <f>VLOOKUP(Table7[[#This Row],[Model]],[1]!Table1[[Model]:[YoY %]],20,FALSE)</f>
        <v>Base Effect</v>
      </c>
    </row>
    <row r="18" spans="1:25" x14ac:dyDescent="0.3">
      <c r="A18" s="4" t="s">
        <v>43</v>
      </c>
      <c r="B18" s="4" t="s">
        <v>54</v>
      </c>
      <c r="C18" s="4" t="s">
        <v>55</v>
      </c>
      <c r="D18" s="4">
        <f>VLOOKUP(Table7[[#This Row],[Model]],'[1]MAIN(CAR DATA SALES 2024'!$B$2:$E$88,4,FALSE)</f>
        <v>71</v>
      </c>
      <c r="E18" s="7">
        <v>0</v>
      </c>
      <c r="F18" s="7">
        <v>0</v>
      </c>
      <c r="G18" s="7"/>
      <c r="H18" s="7"/>
      <c r="I18" s="7"/>
      <c r="J18" s="7"/>
      <c r="K18" s="7"/>
      <c r="L18" s="7"/>
      <c r="M18" s="7"/>
      <c r="N18" s="4"/>
      <c r="O18" s="4"/>
      <c r="P18" s="4"/>
      <c r="Q18" s="4">
        <f t="shared" si="2"/>
        <v>0</v>
      </c>
      <c r="R18" s="4" t="s">
        <v>53</v>
      </c>
      <c r="S18" s="4" t="str">
        <f>VLOOKUP(B18,[1]WORKING!$B$2:$D$95,2,FALSE)</f>
        <v>ELECTRIC</v>
      </c>
      <c r="T18" s="4" t="str">
        <f>VLOOKUP(B18,[1]WORKING!$B$2:$D$95,3,FALSE)</f>
        <v>EV</v>
      </c>
      <c r="U18" s="4" t="s">
        <v>30</v>
      </c>
      <c r="V18" s="5" t="str">
        <f t="shared" si="0"/>
        <v>N/A</v>
      </c>
      <c r="W18" s="5" t="str">
        <f t="shared" si="1"/>
        <v>-100.0%</v>
      </c>
      <c r="X18" s="6" t="str">
        <f>VLOOKUP(Table7[[#This Row],[Model]],[1]!Table1[[Model]:[YoY %]],19,FALSE)</f>
        <v>-17.4%</v>
      </c>
      <c r="Y18" s="6" t="str">
        <f>VLOOKUP(Table7[[#This Row],[Model]],[1]!Table1[[Model]:[YoY %]],20,FALSE)</f>
        <v>N/A</v>
      </c>
    </row>
    <row r="19" spans="1:25" x14ac:dyDescent="0.3">
      <c r="A19" s="4" t="s">
        <v>43</v>
      </c>
      <c r="B19" s="4" t="s">
        <v>56</v>
      </c>
      <c r="C19" s="4"/>
      <c r="D19" s="4">
        <f>VLOOKUP(Table7[[#This Row],[Model]],'[1]MAIN(CAR DATA SALES 2024'!$B$2:$E$88,4,FALSE)</f>
        <v>110</v>
      </c>
      <c r="E19" s="4">
        <v>201</v>
      </c>
      <c r="F19" s="4">
        <v>168</v>
      </c>
      <c r="G19" s="4">
        <v>114</v>
      </c>
      <c r="H19" s="4">
        <v>129</v>
      </c>
      <c r="I19" s="4">
        <v>125</v>
      </c>
      <c r="J19" s="4">
        <v>98</v>
      </c>
      <c r="K19" s="4">
        <v>141</v>
      </c>
      <c r="L19" s="4">
        <v>84</v>
      </c>
      <c r="M19" s="4">
        <v>33</v>
      </c>
      <c r="N19" s="4">
        <f>VLOOKUP(Table7[[#This Row],[Model]],[1]!Table2[[Model]:[Mar-25]],2,FALSE)</f>
        <v>64</v>
      </c>
      <c r="O19" s="4">
        <f>VLOOKUP(B19,'[1]CAR DATA SALES 2025'!$B$2:$E$94,3,FALSE)</f>
        <v>73</v>
      </c>
      <c r="P19" s="4">
        <f>VLOOKUP(B19,'[1]CAR DATA SALES 2025'!$B$2:$E$94,4,FALSE)</f>
        <v>89</v>
      </c>
      <c r="Q19" s="4">
        <f t="shared" si="2"/>
        <v>1319</v>
      </c>
      <c r="R19" s="4" t="s">
        <v>36</v>
      </c>
      <c r="S19" s="4" t="str">
        <f>VLOOKUP(B19,[1]WORKING!$B$2:$D$95,2,FALSE)</f>
        <v>PETROL/DIESEL</v>
      </c>
      <c r="T19" s="4" t="str">
        <f>VLOOKUP(B19,[1]WORKING!$B$2:$D$95,3,FALSE)</f>
        <v>ICE</v>
      </c>
      <c r="U19" s="4" t="s">
        <v>30</v>
      </c>
      <c r="V19" s="5" t="str">
        <f t="shared" si="0"/>
        <v>21.9%</v>
      </c>
      <c r="W19" s="5" t="str">
        <f t="shared" si="1"/>
        <v>-19.1%</v>
      </c>
      <c r="X19" s="6" t="str">
        <f>VLOOKUP(Table7[[#This Row],[Model]],[1]!Table1[[Model]:[YoY %]],19,FALSE)</f>
        <v>-29.9%</v>
      </c>
      <c r="Y19" s="6" t="str">
        <f>VLOOKUP(Table7[[#This Row],[Model]],[1]!Table1[[Model]:[YoY %]],20,FALSE)</f>
        <v>-428.2%</v>
      </c>
    </row>
    <row r="20" spans="1:25" x14ac:dyDescent="0.3">
      <c r="A20" s="4" t="s">
        <v>43</v>
      </c>
      <c r="B20" s="4" t="s">
        <v>57</v>
      </c>
      <c r="C20" s="4"/>
      <c r="D20" s="4">
        <f>VLOOKUP(Table7[[#This Row],[Model]],'[1]MAIN(CAR DATA SALES 2024'!$B$2:$E$88,4,FALSE)</f>
        <v>9614</v>
      </c>
      <c r="E20" s="7">
        <v>9120</v>
      </c>
      <c r="F20" s="7">
        <v>9327</v>
      </c>
      <c r="G20" s="7">
        <v>9890</v>
      </c>
      <c r="H20" s="7">
        <v>8840</v>
      </c>
      <c r="I20" s="7">
        <v>9085</v>
      </c>
      <c r="J20" s="7">
        <v>10259</v>
      </c>
      <c r="K20" s="7">
        <v>10901</v>
      </c>
      <c r="L20" s="7">
        <v>9754</v>
      </c>
      <c r="M20" s="7">
        <v>10265</v>
      </c>
      <c r="N20" s="4">
        <f>VLOOKUP(Table7[[#This Row],[Model]],[1]!Table2[[Model]:[Mar-25]],2,FALSE)</f>
        <v>11106</v>
      </c>
      <c r="O20" s="4">
        <f>VLOOKUP(B20,'[1]CAR DATA SALES 2025'!$B$2:$E$94,3,FALSE)</f>
        <v>10125</v>
      </c>
      <c r="P20" s="4">
        <f>VLOOKUP(B20,'[1]CAR DATA SALES 2025'!$B$2:$E$94,4,FALSE)</f>
        <v>10441</v>
      </c>
      <c r="Q20" s="4">
        <f t="shared" si="2"/>
        <v>119113</v>
      </c>
      <c r="R20" s="4" t="s">
        <v>32</v>
      </c>
      <c r="S20" s="4" t="str">
        <f>VLOOKUP(B20,[1]WORKING!$B$2:$D$95,2,FALSE)</f>
        <v>PETROL/DIESEL</v>
      </c>
      <c r="T20" s="4" t="str">
        <f>VLOOKUP(B20,[1]WORKING!$B$2:$D$95,3,FALSE)</f>
        <v>ICE</v>
      </c>
      <c r="U20" s="4" t="s">
        <v>30</v>
      </c>
      <c r="V20" s="5" t="str">
        <f t="shared" si="0"/>
        <v>3.1%</v>
      </c>
      <c r="W20" s="5" t="str">
        <f t="shared" si="1"/>
        <v>8.6%</v>
      </c>
      <c r="X20" s="6" t="str">
        <f>VLOOKUP(Table7[[#This Row],[Model]],[1]!Table1[[Model]:[YoY %]],19,FALSE)</f>
        <v>7.6%</v>
      </c>
      <c r="Y20" s="6" t="str">
        <f>VLOOKUP(Table7[[#This Row],[Model]],[1]!Table1[[Model]:[YoY %]],20,FALSE)</f>
        <v>-4.3%</v>
      </c>
    </row>
    <row r="21" spans="1:25" x14ac:dyDescent="0.3">
      <c r="A21" s="4" t="s">
        <v>43</v>
      </c>
      <c r="B21" s="4" t="s">
        <v>58</v>
      </c>
      <c r="C21" s="4"/>
      <c r="D21" s="4">
        <f>VLOOKUP(Table7[[#This Row],[Model]],'[1]MAIN(CAR DATA SALES 2024'!$B$2:$E$88,4,FALSE)</f>
        <v>1716</v>
      </c>
      <c r="E21" s="7">
        <v>1571</v>
      </c>
      <c r="F21" s="7">
        <v>1381</v>
      </c>
      <c r="G21" s="7">
        <v>1424</v>
      </c>
      <c r="H21" s="7">
        <v>1420</v>
      </c>
      <c r="I21" s="7">
        <v>1194</v>
      </c>
      <c r="J21" s="7">
        <v>1198</v>
      </c>
      <c r="K21" s="7">
        <v>1272</v>
      </c>
      <c r="L21" s="7">
        <v>1213</v>
      </c>
      <c r="M21" s="4">
        <v>872</v>
      </c>
      <c r="N21" s="4">
        <f>VLOOKUP(Table7[[#This Row],[Model]],[1]!Table2[[Model]:[Mar-25]],2,FALSE)</f>
        <v>1477</v>
      </c>
      <c r="O21" s="4">
        <f>VLOOKUP(B21,'[1]CAR DATA SALES 2025'!$B$2:$E$94,3,FALSE)</f>
        <v>1207</v>
      </c>
      <c r="P21" s="4">
        <f>VLOOKUP(B21,'[1]CAR DATA SALES 2025'!$B$2:$E$94,4,FALSE)</f>
        <v>1364</v>
      </c>
      <c r="Q21" s="4">
        <f t="shared" si="2"/>
        <v>15593</v>
      </c>
      <c r="R21" s="4" t="s">
        <v>29</v>
      </c>
      <c r="S21" s="4" t="str">
        <f>VLOOKUP(B21,[1]WORKING!$B$2:$D$95,2,FALSE)</f>
        <v>PETROL/DIESEL</v>
      </c>
      <c r="T21" s="4" t="str">
        <f>VLOOKUP(B21,[1]WORKING!$B$2:$D$95,3,FALSE)</f>
        <v>ICE</v>
      </c>
      <c r="U21" s="4" t="s">
        <v>40</v>
      </c>
      <c r="V21" s="5" t="str">
        <f t="shared" si="0"/>
        <v>13.0%</v>
      </c>
      <c r="W21" s="5" t="str">
        <f t="shared" si="1"/>
        <v>-20.5%</v>
      </c>
      <c r="X21" s="6" t="str">
        <f>VLOOKUP(Table7[[#This Row],[Model]],[1]!Table1[[Model]:[YoY %]],19,FALSE)</f>
        <v>2.1%</v>
      </c>
      <c r="Y21" s="6" t="str">
        <f>VLOOKUP(Table7[[#This Row],[Model]],[1]!Table1[[Model]:[YoY %]],20,FALSE)</f>
        <v>-118.8%</v>
      </c>
    </row>
    <row r="22" spans="1:25" x14ac:dyDescent="0.3">
      <c r="A22" s="4" t="s">
        <v>59</v>
      </c>
      <c r="B22" s="4" t="s">
        <v>60</v>
      </c>
      <c r="C22" s="4"/>
      <c r="D22" s="4">
        <f>VLOOKUP(Table7[[#This Row],[Model]],'[1]MAIN(CAR DATA SALES 2024'!$B$2:$E$88,4,FALSE)</f>
        <v>329</v>
      </c>
      <c r="E22" s="4">
        <v>282</v>
      </c>
      <c r="F22" s="4">
        <v>269</v>
      </c>
      <c r="G22" s="4">
        <v>216</v>
      </c>
      <c r="H22" s="4">
        <v>213</v>
      </c>
      <c r="I22" s="4">
        <v>280</v>
      </c>
      <c r="J22" s="4">
        <v>310</v>
      </c>
      <c r="K22" s="4">
        <v>236</v>
      </c>
      <c r="L22" s="4">
        <v>188</v>
      </c>
      <c r="M22" s="4">
        <v>175</v>
      </c>
      <c r="N22" s="4">
        <f>VLOOKUP(Table7[[#This Row],[Model]],[1]!Table2[[Model]:[Mar-25]],2,FALSE)</f>
        <v>173</v>
      </c>
      <c r="O22" s="4">
        <f>VLOOKUP(B22,'[1]CAR DATA SALES 2025'!$B$2:$E$94,3,FALSE)</f>
        <v>120</v>
      </c>
      <c r="P22" s="4">
        <f>VLOOKUP(B22,'[1]CAR DATA SALES 2025'!$B$2:$E$94,4,FALSE)</f>
        <v>142</v>
      </c>
      <c r="Q22" s="4">
        <f t="shared" si="2"/>
        <v>2604</v>
      </c>
      <c r="R22" s="4" t="s">
        <v>61</v>
      </c>
      <c r="S22" s="4" t="str">
        <f>VLOOKUP(B22,[1]WORKING!$B$2:$D$95,2,FALSE)</f>
        <v>DIESEL</v>
      </c>
      <c r="T22" s="4" t="str">
        <f>VLOOKUP(B22,[1]WORKING!$B$2:$D$95,3,FALSE)</f>
        <v>ICE</v>
      </c>
      <c r="U22" s="4" t="s">
        <v>30</v>
      </c>
      <c r="V22" s="5" t="str">
        <f t="shared" si="0"/>
        <v>18.3%</v>
      </c>
      <c r="W22" s="5" t="str">
        <f t="shared" si="1"/>
        <v>-56.8%</v>
      </c>
      <c r="X22" s="6" t="str">
        <f>VLOOKUP(Table7[[#This Row],[Model]],[1]!Table1[[Model]:[YoY %]],19,FALSE)</f>
        <v>61.3%</v>
      </c>
      <c r="Y22" s="6" t="str">
        <f>VLOOKUP(Table7[[#This Row],[Model]],[1]!Table1[[Model]:[YoY %]],20,FALSE)</f>
        <v>-20.1%</v>
      </c>
    </row>
    <row r="23" spans="1:25" x14ac:dyDescent="0.3">
      <c r="A23" s="4" t="s">
        <v>59</v>
      </c>
      <c r="B23" s="4" t="s">
        <v>62</v>
      </c>
      <c r="C23" s="4" t="s">
        <v>63</v>
      </c>
      <c r="D23" s="4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4">
        <f>VLOOKUP(Table7[[#This Row],[Model]],[1]!Table2[[Model]:[Mar-25]],2,FALSE)</f>
        <v>0</v>
      </c>
      <c r="O23" s="4">
        <f>VLOOKUP(B23,'[1]CAR DATA SALES 2025'!$B$2:$E$94,3,FALSE)</f>
        <v>12</v>
      </c>
      <c r="P23" s="4">
        <f>VLOOKUP(B23,'[1]CAR DATA SALES 2025'!$B$2:$E$94,4,FALSE)</f>
        <v>8</v>
      </c>
      <c r="Q23" s="4">
        <f t="shared" si="2"/>
        <v>20</v>
      </c>
      <c r="R23" s="4" t="s">
        <v>53</v>
      </c>
      <c r="S23" s="4" t="str">
        <f>VLOOKUP(B23,[1]WORKING!$B$2:$D$95,2,FALSE)</f>
        <v>PETROL</v>
      </c>
      <c r="T23" s="4" t="str">
        <f>VLOOKUP(B23,[1]WORKING!$B$2:$D$95,3,FALSE)</f>
        <v>ICE</v>
      </c>
      <c r="U23" s="4" t="s">
        <v>30</v>
      </c>
      <c r="V23" s="5" t="str">
        <f t="shared" si="0"/>
        <v>-33.3%</v>
      </c>
      <c r="W23" s="5" t="str">
        <f t="shared" si="1"/>
        <v>N/A</v>
      </c>
      <c r="X23" s="6" t="str">
        <f>VLOOKUP(Table7[[#This Row],[Model]],[1]!Table1[[Model]:[YoY %]],19,FALSE)</f>
        <v>N/A</v>
      </c>
      <c r="Y23" s="6" t="str">
        <f>VLOOKUP(Table7[[#This Row],[Model]],[1]!Table1[[Model]:[YoY %]],20,FALSE)</f>
        <v>N/A</v>
      </c>
    </row>
    <row r="24" spans="1:25" x14ac:dyDescent="0.3">
      <c r="A24" s="4" t="s">
        <v>59</v>
      </c>
      <c r="B24" s="4" t="s">
        <v>64</v>
      </c>
      <c r="C24" s="4"/>
      <c r="D24" s="4">
        <f>VLOOKUP(Table7[[#This Row],[Model]],'[1]MAIN(CAR DATA SALES 2024'!$B$2:$E$88,4,FALSE)</f>
        <v>96</v>
      </c>
      <c r="E24" s="4">
        <v>95</v>
      </c>
      <c r="F24" s="4">
        <v>75</v>
      </c>
      <c r="G24" s="4">
        <v>65</v>
      </c>
      <c r="H24" s="4">
        <v>63</v>
      </c>
      <c r="I24" s="4">
        <v>60</v>
      </c>
      <c r="J24" s="4">
        <v>55</v>
      </c>
      <c r="K24" s="4">
        <v>188</v>
      </c>
      <c r="L24" s="4">
        <v>173</v>
      </c>
      <c r="M24" s="4">
        <v>111</v>
      </c>
      <c r="N24" s="4">
        <f>VLOOKUP(Table7[[#This Row],[Model]],[1]!Table2[[Model]:[Mar-25]],2,FALSE)</f>
        <v>137</v>
      </c>
      <c r="O24" s="4">
        <f>VLOOKUP(B24,'[1]CAR DATA SALES 2025'!$B$2:$E$94,3,FALSE)</f>
        <v>133</v>
      </c>
      <c r="P24" s="4">
        <f>VLOOKUP(B24,'[1]CAR DATA SALES 2025'!$B$2:$E$94,4,FALSE)</f>
        <v>112</v>
      </c>
      <c r="Q24" s="4">
        <f t="shared" si="2"/>
        <v>1267</v>
      </c>
      <c r="R24" s="8" t="s">
        <v>36</v>
      </c>
      <c r="S24" s="4" t="str">
        <f>VLOOKUP(B24,[1]WORKING!$B$2:$D$95,2,FALSE)</f>
        <v>DIESEL</v>
      </c>
      <c r="T24" s="4" t="str">
        <f>VLOOKUP(B24,[1]WORKING!$B$2:$D$95,3,FALSE)</f>
        <v>ICE</v>
      </c>
      <c r="U24" s="4" t="s">
        <v>30</v>
      </c>
      <c r="V24" s="5" t="str">
        <f t="shared" si="0"/>
        <v>-15.8%</v>
      </c>
      <c r="W24" s="5" t="str">
        <f t="shared" si="1"/>
        <v>16.7%</v>
      </c>
      <c r="X24" s="6" t="str">
        <f>VLOOKUP(Table7[[#This Row],[Model]],[1]!Table1[[Model]:[YoY %]],19,FALSE)</f>
        <v>-24.4%</v>
      </c>
      <c r="Y24" s="6" t="str">
        <f>VLOOKUP(Table7[[#This Row],[Model]],[1]!Table1[[Model]:[YoY %]],20,FALSE)</f>
        <v>-196.9%</v>
      </c>
    </row>
    <row r="25" spans="1:25" x14ac:dyDescent="0.3">
      <c r="A25" s="4" t="s">
        <v>59</v>
      </c>
      <c r="B25" s="4" t="s">
        <v>65</v>
      </c>
      <c r="C25" s="4" t="s">
        <v>66</v>
      </c>
      <c r="D25" s="4"/>
      <c r="E25" s="7">
        <v>0</v>
      </c>
      <c r="F25" s="7">
        <v>0</v>
      </c>
      <c r="G25" s="7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f>VLOOKUP(Table7[[#This Row],[Model]],[1]!Table2[[Model]:[Mar-25]],2,FALSE)</f>
        <v>0</v>
      </c>
      <c r="O25" s="4">
        <f>VLOOKUP(B25,'[1]CAR DATA SALES 2025'!$B$2:$E$94,3,FALSE)</f>
        <v>28</v>
      </c>
      <c r="P25" s="4">
        <f>VLOOKUP(B25,'[1]CAR DATA SALES 2025'!$B$2:$E$94,4,FALSE)</f>
        <v>32</v>
      </c>
      <c r="Q25" s="4">
        <f t="shared" si="2"/>
        <v>60</v>
      </c>
      <c r="R25" s="4" t="s">
        <v>53</v>
      </c>
      <c r="S25" s="4" t="str">
        <f>VLOOKUP(B25,[1]WORKING!$B$2:$D$95,2,FALSE)</f>
        <v>PETROL</v>
      </c>
      <c r="T25" s="4" t="str">
        <f>VLOOKUP(B25,[1]WORKING!$B$2:$D$95,3,FALSE)</f>
        <v>ICE</v>
      </c>
      <c r="U25" s="4" t="s">
        <v>30</v>
      </c>
      <c r="V25" s="5" t="str">
        <f t="shared" si="0"/>
        <v>14.3%</v>
      </c>
      <c r="W25" s="5" t="str">
        <f t="shared" si="1"/>
        <v>N/A</v>
      </c>
      <c r="X25" s="6" t="str">
        <f>VLOOKUP(Table7[[#This Row],[Model]],[1]!Table1[[Model]:[YoY %]],19,FALSE)</f>
        <v>N/A</v>
      </c>
      <c r="Y25" s="6" t="str">
        <f>VLOOKUP(Table7[[#This Row],[Model]],[1]!Table1[[Model]:[YoY %]],20,FALSE)</f>
        <v>N/A</v>
      </c>
    </row>
    <row r="26" spans="1:25" x14ac:dyDescent="0.3">
      <c r="A26" s="4" t="s">
        <v>67</v>
      </c>
      <c r="B26" s="4" t="s">
        <v>68</v>
      </c>
      <c r="C26" s="4"/>
      <c r="D26" s="4">
        <f>VLOOKUP(Table7[[#This Row],[Model]],'[1]MAIN(CAR DATA SALES 2024'!$B$2:$E$88,4,FALSE)</f>
        <v>4737</v>
      </c>
      <c r="E26" s="7">
        <v>5328</v>
      </c>
      <c r="F26" s="7">
        <v>5316</v>
      </c>
      <c r="G26" s="7">
        <v>5154</v>
      </c>
      <c r="H26" s="7">
        <v>5679</v>
      </c>
      <c r="I26" s="7">
        <v>5881</v>
      </c>
      <c r="J26" s="7">
        <v>6217</v>
      </c>
      <c r="K26" s="7">
        <v>6384</v>
      </c>
      <c r="L26" s="7">
        <v>5672</v>
      </c>
      <c r="M26" s="7">
        <v>2626</v>
      </c>
      <c r="N26" s="4">
        <f>VLOOKUP(Table7[[#This Row],[Model]],[1]!Table2[[Model]:[Mar-25]],2,FALSE)</f>
        <v>5522</v>
      </c>
      <c r="O26" s="4">
        <f>VLOOKUP(B26,'[1]CAR DATA SALES 2025'!$B$2:$E$94,3,FALSE)</f>
        <v>5318</v>
      </c>
      <c r="P26" s="4">
        <f>VLOOKUP(B26,'[1]CAR DATA SALES 2025'!$B$2:$E$94,4,FALSE)</f>
        <v>5512</v>
      </c>
      <c r="Q26" s="4">
        <f t="shared" si="2"/>
        <v>64609</v>
      </c>
      <c r="R26" s="4" t="s">
        <v>69</v>
      </c>
      <c r="S26" s="4" t="str">
        <f>VLOOKUP(B26,[1]WORKING!$B$2:$D$95,2,FALSE)</f>
        <v>PETROL/DIESEL</v>
      </c>
      <c r="T26" s="4" t="str">
        <f>VLOOKUP(B26,[1]WORKING!$B$2:$D$95,3,FALSE)</f>
        <v>ICE</v>
      </c>
      <c r="U26" s="4" t="s">
        <v>46</v>
      </c>
      <c r="V26" s="5" t="str">
        <f t="shared" si="0"/>
        <v>3.6%</v>
      </c>
      <c r="W26" s="5" t="str">
        <f t="shared" si="1"/>
        <v>16.4%</v>
      </c>
      <c r="X26" s="6" t="str">
        <f>VLOOKUP(Table7[[#This Row],[Model]],[1]!Table1[[Model]:[YoY %]],19,FALSE)</f>
        <v>-2.0%</v>
      </c>
      <c r="Y26" s="6" t="str">
        <f>VLOOKUP(Table7[[#This Row],[Model]],[1]!Table1[[Model]:[YoY %]],20,FALSE)</f>
        <v>-28.8%</v>
      </c>
    </row>
    <row r="27" spans="1:25" x14ac:dyDescent="0.3">
      <c r="A27" s="4" t="s">
        <v>67</v>
      </c>
      <c r="B27" s="4" t="s">
        <v>70</v>
      </c>
      <c r="C27" s="4" t="s">
        <v>71</v>
      </c>
      <c r="D27" s="4">
        <f>VLOOKUP(Table7[[#This Row],[Model]],'[1]MAIN(CAR DATA SALES 2024'!$B$2:$E$88,4,FALSE)</f>
        <v>0</v>
      </c>
      <c r="E27" s="7">
        <v>0</v>
      </c>
      <c r="F27" s="7">
        <v>0</v>
      </c>
      <c r="G27" s="7">
        <v>0</v>
      </c>
      <c r="H27" s="4">
        <v>0</v>
      </c>
      <c r="I27" s="4">
        <v>0</v>
      </c>
      <c r="J27" s="4">
        <v>0</v>
      </c>
      <c r="K27" s="4">
        <v>255</v>
      </c>
      <c r="L27" s="4">
        <v>241</v>
      </c>
      <c r="M27" s="4">
        <v>103</v>
      </c>
      <c r="N27" s="4">
        <f>VLOOKUP(Table7[[#This Row],[Model]],[1]!Table2[[Model]:[Mar-25]],2,FALSE)</f>
        <v>293</v>
      </c>
      <c r="O27" s="4">
        <f>VLOOKUP(B27,'[1]CAR DATA SALES 2025'!$B$2:$E$94,3,FALSE)</f>
        <v>239</v>
      </c>
      <c r="P27" s="4">
        <f>VLOOKUP(B27,'[1]CAR DATA SALES 2025'!$B$2:$E$94,4,FALSE)</f>
        <v>230</v>
      </c>
      <c r="Q27" s="4">
        <f t="shared" si="2"/>
        <v>1361</v>
      </c>
      <c r="R27" s="4" t="s">
        <v>36</v>
      </c>
      <c r="S27" s="4" t="str">
        <f>VLOOKUP(B27,[1]WORKING!$B$2:$D$95,2,FALSE)</f>
        <v>DIESEL</v>
      </c>
      <c r="T27" s="4" t="str">
        <f>VLOOKUP(B27,[1]WORKING!$B$2:$D$95,3,FALSE)</f>
        <v>ICE</v>
      </c>
      <c r="U27" s="4" t="s">
        <v>46</v>
      </c>
      <c r="V27" s="5" t="str">
        <f t="shared" si="0"/>
        <v>-3.8%</v>
      </c>
      <c r="W27" s="5" t="str">
        <f t="shared" si="1"/>
        <v>N/A</v>
      </c>
      <c r="X27" s="6" t="str">
        <f>VLOOKUP(Table7[[#This Row],[Model]],[1]!Table1[[Model]:[YoY %]],19,FALSE)</f>
        <v>N/A</v>
      </c>
      <c r="Y27" s="6" t="str">
        <f>VLOOKUP(Table7[[#This Row],[Model]],[1]!Table1[[Model]:[YoY %]],20,FALSE)</f>
        <v>N/A</v>
      </c>
    </row>
    <row r="28" spans="1:25" x14ac:dyDescent="0.3">
      <c r="A28" s="4" t="s">
        <v>67</v>
      </c>
      <c r="B28" s="4" t="s">
        <v>72</v>
      </c>
      <c r="C28" s="4"/>
      <c r="D28" s="4">
        <f>VLOOKUP(Table7[[#This Row],[Model]],'[1]MAIN(CAR DATA SALES 2024'!$B$2:$E$88,4,FALSE)</f>
        <v>1</v>
      </c>
      <c r="E28" s="4">
        <v>5</v>
      </c>
      <c r="F28" s="4">
        <v>15</v>
      </c>
      <c r="G28" s="4">
        <v>24</v>
      </c>
      <c r="H28" s="4">
        <v>22</v>
      </c>
      <c r="I28" s="4">
        <v>33</v>
      </c>
      <c r="J28" s="4">
        <v>12</v>
      </c>
      <c r="K28" s="4">
        <v>50</v>
      </c>
      <c r="L28" s="4">
        <v>68</v>
      </c>
      <c r="M28" s="4">
        <v>61</v>
      </c>
      <c r="N28" s="4">
        <f>VLOOKUP(Table7[[#This Row],[Model]],[1]!Table2[[Model]:[Mar-25]],2,FALSE)</f>
        <v>0</v>
      </c>
      <c r="O28" s="4">
        <f>VLOOKUP(B28,'[1]CAR DATA SALES 2025'!$B$2:$E$94,3,FALSE)</f>
        <v>0</v>
      </c>
      <c r="P28" s="4">
        <f>VLOOKUP(B28,'[1]CAR DATA SALES 2025'!$B$2:$E$94,4,FALSE)</f>
        <v>520</v>
      </c>
      <c r="Q28" s="4">
        <f t="shared" si="2"/>
        <v>810</v>
      </c>
      <c r="R28" s="4" t="s">
        <v>53</v>
      </c>
      <c r="S28" s="4" t="str">
        <f>VLOOKUP(B28,[1]WORKING!$B$2:$D$95,2,FALSE)</f>
        <v>ELECTRIC</v>
      </c>
      <c r="T28" s="4" t="str">
        <f>VLOOKUP(B28,[1]WORKING!$B$2:$D$95,3,FALSE)</f>
        <v>EV</v>
      </c>
      <c r="U28" s="4" t="s">
        <v>30</v>
      </c>
      <c r="V28" s="5" t="str">
        <f t="shared" si="0"/>
        <v>N/A</v>
      </c>
      <c r="W28" s="5" t="str">
        <f t="shared" si="1"/>
        <v>Base Effect</v>
      </c>
      <c r="X28" s="6" t="str">
        <f>VLOOKUP(Table7[[#This Row],[Model]],[1]!Table1[[Model]:[YoY %]],19,FALSE)</f>
        <v>0.0%</v>
      </c>
      <c r="Y28" s="6" t="str">
        <f>VLOOKUP(Table7[[#This Row],[Model]],[1]!Table1[[Model]:[YoY %]],20,FALSE)</f>
        <v>N/A</v>
      </c>
    </row>
    <row r="29" spans="1:25" x14ac:dyDescent="0.3">
      <c r="A29" s="4" t="s">
        <v>67</v>
      </c>
      <c r="B29" s="4" t="s">
        <v>73</v>
      </c>
      <c r="C29" s="4" t="s">
        <v>71</v>
      </c>
      <c r="D29" s="4"/>
      <c r="E29" s="7"/>
      <c r="F29" s="7"/>
      <c r="G29" s="7"/>
      <c r="H29" s="7"/>
      <c r="I29" s="7"/>
      <c r="J29" s="7"/>
      <c r="K29" s="7">
        <v>0</v>
      </c>
      <c r="L29" s="7">
        <v>0</v>
      </c>
      <c r="M29" s="7">
        <v>0</v>
      </c>
      <c r="N29" s="4">
        <f>VLOOKUP(Table7[[#This Row],[Model]],[1]!Table2[[Model]:[Mar-25]],2,FALSE)</f>
        <v>0</v>
      </c>
      <c r="O29" s="4">
        <f>VLOOKUP(B29,'[1]CAR DATA SALES 2025'!$B$2:$E$94,3,FALSE)</f>
        <v>0</v>
      </c>
      <c r="P29" s="4">
        <f>VLOOKUP(B29,'[1]CAR DATA SALES 2025'!$B$2:$E$94,4,FALSE)</f>
        <v>18</v>
      </c>
      <c r="Q29" s="4">
        <f t="shared" si="2"/>
        <v>18</v>
      </c>
      <c r="R29" s="4" t="s">
        <v>53</v>
      </c>
      <c r="S29" s="4" t="str">
        <f>VLOOKUP(B29,[1]WORKING!$B$2:$D$95,2,FALSE)</f>
        <v>ELECTRIC</v>
      </c>
      <c r="T29" s="4" t="str">
        <f>VLOOKUP(B29,[1]WORKING!$B$2:$D$95,3,FALSE)</f>
        <v>EV</v>
      </c>
      <c r="U29" s="4" t="s">
        <v>30</v>
      </c>
      <c r="V29" s="5" t="str">
        <f t="shared" si="0"/>
        <v>N/A</v>
      </c>
      <c r="W29" s="5" t="str">
        <f t="shared" si="1"/>
        <v>N/A</v>
      </c>
      <c r="X29" s="6" t="str">
        <f>VLOOKUP(Table7[[#This Row],[Model]],[1]!Table1[[Model]:[YoY %]],19,FALSE)</f>
        <v>N/A</v>
      </c>
      <c r="Y29" s="6" t="str">
        <f>VLOOKUP(Table7[[#This Row],[Model]],[1]!Table1[[Model]:[YoY %]],20,FALSE)</f>
        <v>N/A</v>
      </c>
    </row>
    <row r="30" spans="1:25" x14ac:dyDescent="0.3">
      <c r="A30" s="4" t="s">
        <v>67</v>
      </c>
      <c r="B30" s="4" t="s">
        <v>74</v>
      </c>
      <c r="C30" s="4"/>
      <c r="D30" s="4">
        <f>VLOOKUP(Table7[[#This Row],[Model]],'[1]MAIN(CAR DATA SALES 2024'!$B$2:$E$88,4,FALSE)</f>
        <v>7912</v>
      </c>
      <c r="E30" s="7">
        <v>6734</v>
      </c>
      <c r="F30" s="7">
        <v>6736</v>
      </c>
      <c r="G30" s="7">
        <v>6306</v>
      </c>
      <c r="H30" s="7">
        <v>5347</v>
      </c>
      <c r="I30" s="7">
        <v>6536</v>
      </c>
      <c r="J30" s="7">
        <v>6959</v>
      </c>
      <c r="K30" s="7">
        <v>6365</v>
      </c>
      <c r="L30" s="7">
        <v>5364</v>
      </c>
      <c r="M30" s="7">
        <v>2830</v>
      </c>
      <c r="N30" s="4">
        <f>VLOOKUP(Table7[[#This Row],[Model]],[1]!Table2[[Model]:[Mar-25]],2,FALSE)</f>
        <v>6470</v>
      </c>
      <c r="O30" s="4">
        <f>VLOOKUP(B30,'[1]CAR DATA SALES 2025'!$B$2:$E$94,3,FALSE)</f>
        <v>6446</v>
      </c>
      <c r="P30" s="4">
        <f>VLOOKUP(B30,'[1]CAR DATA SALES 2025'!$B$2:$E$94,4,FALSE)</f>
        <v>6525</v>
      </c>
      <c r="Q30" s="4">
        <f t="shared" si="2"/>
        <v>72618</v>
      </c>
      <c r="R30" s="4" t="s">
        <v>29</v>
      </c>
      <c r="S30" s="4" t="str">
        <f>VLOOKUP(B30,[1]WORKING!$B$2:$D$95,2,FALSE)</f>
        <v>PETROL/DIESEL</v>
      </c>
      <c r="T30" s="4" t="str">
        <f>VLOOKUP(B30,[1]WORKING!$B$2:$D$95,3,FALSE)</f>
        <v>ICE</v>
      </c>
      <c r="U30" s="4" t="s">
        <v>30</v>
      </c>
      <c r="V30" s="5" t="str">
        <f t="shared" si="0"/>
        <v>1.2%</v>
      </c>
      <c r="W30" s="5" t="str">
        <f t="shared" si="1"/>
        <v>-17.5%</v>
      </c>
      <c r="X30" s="6" t="str">
        <f>VLOOKUP(Table7[[#This Row],[Model]],[1]!Table1[[Model]:[YoY %]],19,FALSE)</f>
        <v>26.3%</v>
      </c>
      <c r="Y30" s="6" t="str">
        <f>VLOOKUP(Table7[[#This Row],[Model]],[1]!Table1[[Model]:[YoY %]],20,FALSE)</f>
        <v>17.2%</v>
      </c>
    </row>
    <row r="31" spans="1:25" x14ac:dyDescent="0.3">
      <c r="A31" s="4" t="s">
        <v>67</v>
      </c>
      <c r="B31" s="4" t="s">
        <v>75</v>
      </c>
      <c r="C31" s="4"/>
      <c r="D31" s="4">
        <f>VLOOKUP(Table7[[#This Row],[Model]],'[1]MAIN(CAR DATA SALES 2024'!$B$2:$E$88,4,FALSE)</f>
        <v>8750</v>
      </c>
      <c r="E31" s="7">
        <v>7901</v>
      </c>
      <c r="F31" s="7">
        <v>7433</v>
      </c>
      <c r="G31" s="7">
        <v>9816</v>
      </c>
      <c r="H31" s="7">
        <v>9459</v>
      </c>
      <c r="I31" s="7">
        <v>10073</v>
      </c>
      <c r="J31" s="7">
        <v>10335</v>
      </c>
      <c r="K31" s="7">
        <v>9699</v>
      </c>
      <c r="L31" s="7">
        <v>9255</v>
      </c>
      <c r="M31" s="7">
        <v>3337</v>
      </c>
      <c r="N31" s="4">
        <f>VLOOKUP(Table7[[#This Row],[Model]],[1]!Table2[[Model]:[Mar-25]],2,FALSE)</f>
        <v>7194</v>
      </c>
      <c r="O31" s="4">
        <f>VLOOKUP(B31,'[1]CAR DATA SALES 2025'!$B$2:$E$94,3,FALSE)</f>
        <v>7598</v>
      </c>
      <c r="P31" s="4">
        <f>VLOOKUP(B31,'[1]CAR DATA SALES 2025'!$B$2:$E$94,4,FALSE)</f>
        <v>7705</v>
      </c>
      <c r="Q31" s="4">
        <f t="shared" si="2"/>
        <v>99805</v>
      </c>
      <c r="R31" s="4" t="s">
        <v>32</v>
      </c>
      <c r="S31" s="4" t="str">
        <f>VLOOKUP(B31,[1]WORKING!$B$2:$D$95,2,FALSE)</f>
        <v>PETROL/DIESEL</v>
      </c>
      <c r="T31" s="4" t="str">
        <f>VLOOKUP(B31,[1]WORKING!$B$2:$D$95,3,FALSE)</f>
        <v>ICE</v>
      </c>
      <c r="U31" s="4" t="s">
        <v>30</v>
      </c>
      <c r="V31" s="5" t="str">
        <f t="shared" si="0"/>
        <v>1.4%</v>
      </c>
      <c r="W31" s="5" t="str">
        <f t="shared" si="1"/>
        <v>-11.9%</v>
      </c>
      <c r="X31" s="6" t="str">
        <f>VLOOKUP(Table7[[#This Row],[Model]],[1]!Table1[[Model]:[YoY %]],19,FALSE)</f>
        <v>-3.9%</v>
      </c>
      <c r="Y31" s="6" t="str">
        <f>VLOOKUP(Table7[[#This Row],[Model]],[1]!Table1[[Model]:[YoY %]],20,FALSE)</f>
        <v>0.8%</v>
      </c>
    </row>
    <row r="32" spans="1:25" x14ac:dyDescent="0.3">
      <c r="A32" s="4" t="s">
        <v>67</v>
      </c>
      <c r="B32" s="4" t="s">
        <v>76</v>
      </c>
      <c r="C32" s="4" t="s">
        <v>77</v>
      </c>
      <c r="D32" s="4"/>
      <c r="E32" s="7"/>
      <c r="F32" s="7"/>
      <c r="G32" s="7"/>
      <c r="H32" s="7"/>
      <c r="I32" s="7"/>
      <c r="J32" s="7"/>
      <c r="K32" s="7"/>
      <c r="L32" s="7"/>
      <c r="M32" s="7"/>
      <c r="N32" s="4"/>
      <c r="O32" s="4">
        <f>VLOOKUP(B32,'[1]CAR DATA SALES 2025'!$B$2:$E$94,3,FALSE)</f>
        <v>5425</v>
      </c>
      <c r="P32" s="4">
        <f>VLOOKUP(B32,'[1]CAR DATA SALES 2025'!$B$2:$E$94,4,FALSE)</f>
        <v>5015</v>
      </c>
      <c r="Q32" s="4">
        <f t="shared" si="2"/>
        <v>10440</v>
      </c>
      <c r="R32" s="4" t="s">
        <v>32</v>
      </c>
      <c r="S32" s="4" t="str">
        <f>VLOOKUP(B32,[1]WORKING!$B$2:$D$95,2,FALSE)</f>
        <v>PETROL/DIESEL</v>
      </c>
      <c r="T32" s="4" t="str">
        <f>VLOOKUP(B32,[1]WORKING!$B$2:$D$95,3,FALSE)</f>
        <v>ICE</v>
      </c>
      <c r="U32" s="4" t="s">
        <v>30</v>
      </c>
      <c r="V32" s="5" t="str">
        <f t="shared" si="0"/>
        <v>-7.6%</v>
      </c>
      <c r="W32" s="5" t="str">
        <f t="shared" si="1"/>
        <v>N/A</v>
      </c>
      <c r="X32" s="6" t="str">
        <f>VLOOKUP(Table7[[#This Row],[Model]],[1]!Table1[[Model]:[YoY %]],19,FALSE)</f>
        <v>N/A</v>
      </c>
      <c r="Y32" s="6" t="str">
        <f>VLOOKUP(Table7[[#This Row],[Model]],[1]!Table1[[Model]:[YoY %]],20,FALSE)</f>
        <v>N/A</v>
      </c>
    </row>
    <row r="33" spans="1:25" x14ac:dyDescent="0.3">
      <c r="A33" s="4" t="s">
        <v>78</v>
      </c>
      <c r="B33" s="4" t="s">
        <v>79</v>
      </c>
      <c r="C33" s="4"/>
      <c r="D33" s="4">
        <f>VLOOKUP(Table7[[#This Row],[Model]],'[1]MAIN(CAR DATA SALES 2024'!$B$2:$E$88,4,FALSE)</f>
        <v>10347</v>
      </c>
      <c r="E33" s="7">
        <v>9537</v>
      </c>
      <c r="F33" s="7">
        <v>8026</v>
      </c>
      <c r="G33" s="7">
        <v>7365</v>
      </c>
      <c r="H33" s="7">
        <v>6930</v>
      </c>
      <c r="I33" s="7">
        <v>6494</v>
      </c>
      <c r="J33" s="7">
        <v>8180</v>
      </c>
      <c r="K33" s="7">
        <v>9849</v>
      </c>
      <c r="L33" s="7">
        <v>7045</v>
      </c>
      <c r="M33" s="7">
        <v>5921</v>
      </c>
      <c r="N33" s="4">
        <f>VLOOKUP(Table7[[#This Row],[Model]],[1]!Table2[[Model]:[Mar-25]],2,FALSE)</f>
        <v>8682</v>
      </c>
      <c r="O33" s="4">
        <f>VLOOKUP(B33,'[1]CAR DATA SALES 2025'!$B$2:$E$94,3,FALSE)</f>
        <v>8690</v>
      </c>
      <c r="P33" s="4">
        <f>VLOOKUP(B33,'[1]CAR DATA SALES 2025'!$B$2:$E$94,4,FALSE)</f>
        <v>8031</v>
      </c>
      <c r="Q33" s="4"/>
      <c r="R33" s="4" t="s">
        <v>69</v>
      </c>
      <c r="S33" s="4" t="str">
        <f>VLOOKUP(B33,[1]WORKING!$B$2:$D$95,2,FALSE)</f>
        <v>DIESEL</v>
      </c>
      <c r="T33" s="4" t="str">
        <f>VLOOKUP(B33,[1]WORKING!$B$2:$D$95,3,FALSE)</f>
        <v>ICE</v>
      </c>
      <c r="U33" s="4" t="s">
        <v>46</v>
      </c>
      <c r="V33" s="5" t="str">
        <f t="shared" si="0"/>
        <v>-7.6%</v>
      </c>
      <c r="W33" s="5" t="str">
        <f t="shared" si="1"/>
        <v>-22.4%</v>
      </c>
      <c r="X33" s="6" t="str">
        <f>VLOOKUP(Table7[[#This Row],[Model]],[1]!Table1[[Model]:[YoY %]],19,FALSE)</f>
        <v>2.3%</v>
      </c>
      <c r="Y33" s="6" t="str">
        <f>VLOOKUP(Table7[[#This Row],[Model]],[1]!Table1[[Model]:[YoY %]],20,FALSE)</f>
        <v>7.7%</v>
      </c>
    </row>
    <row r="34" spans="1:25" x14ac:dyDescent="0.3">
      <c r="A34" t="s">
        <v>78</v>
      </c>
      <c r="B34" s="9" t="s">
        <v>80</v>
      </c>
      <c r="C34" s="9" t="s">
        <v>81</v>
      </c>
      <c r="D34" s="4"/>
      <c r="E34" s="7"/>
      <c r="F34" s="7"/>
      <c r="G34" s="7"/>
      <c r="H34" s="7"/>
      <c r="I34" s="7"/>
      <c r="J34" s="7"/>
      <c r="K34" s="7"/>
      <c r="L34" s="7"/>
      <c r="M34" s="7"/>
      <c r="N34" s="4"/>
      <c r="O34" s="4"/>
      <c r="P34" s="4"/>
      <c r="Q34" s="4">
        <f t="shared" si="2"/>
        <v>0</v>
      </c>
      <c r="R34" s="4" t="s">
        <v>50</v>
      </c>
      <c r="S34" s="4" t="str">
        <f>VLOOKUP(B34,[1]WORKING!$B$2:$D$95,2,FALSE)</f>
        <v>PETROL/DIESEL/CNG</v>
      </c>
      <c r="T34" s="4" t="str">
        <f>VLOOKUP(B34,[1]WORKING!$B$2:$D$95,3,FALSE)</f>
        <v>ICE</v>
      </c>
      <c r="U34" s="4" t="s">
        <v>33</v>
      </c>
      <c r="V34" s="5" t="str">
        <f t="shared" si="0"/>
        <v>N/A</v>
      </c>
      <c r="W34" s="5" t="str">
        <f t="shared" si="1"/>
        <v>N/A</v>
      </c>
      <c r="X34" s="6" t="str">
        <f>VLOOKUP(Table7[[#This Row],[Model]],[1]!Table1[[Model]:[YoY %]],19,FALSE)</f>
        <v>N/A</v>
      </c>
      <c r="Y34" s="6" t="str">
        <f>VLOOKUP(Table7[[#This Row],[Model]],[1]!Table1[[Model]:[YoY %]],20,FALSE)</f>
        <v>N/A</v>
      </c>
    </row>
    <row r="35" spans="1:25" x14ac:dyDescent="0.3">
      <c r="A35" s="4" t="s">
        <v>78</v>
      </c>
      <c r="B35" s="4" t="s">
        <v>82</v>
      </c>
      <c r="C35" s="4"/>
      <c r="D35" s="4">
        <f>VLOOKUP(Table7[[#This Row],[Model]],'[1]MAIN(CAR DATA SALES 2024'!$B$2:$E$88,4,FALSE)</f>
        <v>51</v>
      </c>
      <c r="E35" s="4">
        <v>20</v>
      </c>
      <c r="F35" s="4">
        <v>16</v>
      </c>
      <c r="G35" s="4">
        <v>12</v>
      </c>
      <c r="H35" s="4">
        <v>14</v>
      </c>
      <c r="I35" s="4">
        <v>8</v>
      </c>
      <c r="J35" s="4">
        <v>7</v>
      </c>
      <c r="K35" s="4">
        <v>37</v>
      </c>
      <c r="L35" s="4">
        <v>9</v>
      </c>
      <c r="M35" s="4">
        <v>16</v>
      </c>
      <c r="N35" s="4">
        <f>VLOOKUP(Table7[[#This Row],[Model]],[1]!Table2[[Model]:[Mar-25]],2,FALSE)</f>
        <v>0</v>
      </c>
      <c r="O35" s="4">
        <f>VLOOKUP(B35,'[1]CAR DATA SALES 2025'!$B$2:$E$94,3,FALSE)</f>
        <v>17</v>
      </c>
      <c r="P35" s="4">
        <f>VLOOKUP(B35,'[1]CAR DATA SALES 2025'!$B$2:$E$94,4,FALSE)</f>
        <v>10</v>
      </c>
      <c r="Q35" s="4">
        <f t="shared" si="2"/>
        <v>166</v>
      </c>
      <c r="R35" s="4" t="s">
        <v>69</v>
      </c>
      <c r="S35" s="4" t="str">
        <f>VLOOKUP(B35,[1]WORKING!$B$2:$D$95,2,FALSE)</f>
        <v>DIESEL</v>
      </c>
      <c r="T35" s="4" t="str">
        <f>VLOOKUP(B35,[1]WORKING!$B$2:$D$95,3,FALSE)</f>
        <v>ICE</v>
      </c>
      <c r="U35" s="4" t="s">
        <v>46</v>
      </c>
      <c r="V35" s="5" t="str">
        <f t="shared" si="0"/>
        <v>-41.2%</v>
      </c>
      <c r="W35" s="5" t="str">
        <f t="shared" si="1"/>
        <v>-80.4%</v>
      </c>
      <c r="X35" s="6" t="str">
        <f>VLOOKUP(Table7[[#This Row],[Model]],[1]!Table1[[Model]:[YoY %]],19,FALSE)</f>
        <v>0.0%</v>
      </c>
      <c r="Y35" s="6" t="str">
        <f>VLOOKUP(Table7[[#This Row],[Model]],[1]!Table1[[Model]:[YoY %]],20,FALSE)</f>
        <v>-860.8%</v>
      </c>
    </row>
    <row r="36" spans="1:25" x14ac:dyDescent="0.3">
      <c r="A36" s="4" t="s">
        <v>78</v>
      </c>
      <c r="B36" s="4" t="s">
        <v>83</v>
      </c>
      <c r="C36" s="4"/>
      <c r="D36" s="4">
        <f>VLOOKUP(Table7[[#This Row],[Model]],'[1]MAIN(CAR DATA SALES 2024'!$B$2:$E$88,4,FALSE)</f>
        <v>15151</v>
      </c>
      <c r="E36" s="7">
        <v>14807</v>
      </c>
      <c r="F36" s="7">
        <v>13717</v>
      </c>
      <c r="G36" s="7">
        <v>12307</v>
      </c>
      <c r="H36" s="7">
        <v>12237</v>
      </c>
      <c r="I36" s="7">
        <v>13787</v>
      </c>
      <c r="J36" s="7">
        <v>14438</v>
      </c>
      <c r="K36" s="7">
        <v>15677</v>
      </c>
      <c r="L36" s="7">
        <v>12704</v>
      </c>
      <c r="M36" s="7">
        <v>12195</v>
      </c>
      <c r="N36" s="4">
        <f>VLOOKUP(Table7[[#This Row],[Model]],[1]!Table2[[Model]:[Mar-25]],2,FALSE)</f>
        <v>15442</v>
      </c>
      <c r="O36" s="4">
        <f>VLOOKUP(B36,'[1]CAR DATA SALES 2025'!$B$2:$E$94,3,FALSE)</f>
        <v>13618</v>
      </c>
      <c r="P36" s="4">
        <f>VLOOKUP(B36,'[1]CAR DATA SALES 2025'!$B$2:$E$94,4,FALSE)</f>
        <v>13913</v>
      </c>
      <c r="Q36" s="4">
        <f t="shared" si="2"/>
        <v>164842</v>
      </c>
      <c r="R36" s="4" t="s">
        <v>29</v>
      </c>
      <c r="S36" s="4" t="str">
        <f>VLOOKUP(B36,[1]WORKING!$B$2:$D$95,2,FALSE)</f>
        <v>DIESEL</v>
      </c>
      <c r="T36" s="4" t="str">
        <f>VLOOKUP(B36,[1]WORKING!$B$2:$D$95,3,FALSE)</f>
        <v>ICE</v>
      </c>
      <c r="U36" s="4" t="s">
        <v>30</v>
      </c>
      <c r="V36" s="5" t="str">
        <f t="shared" si="0"/>
        <v>2.2%</v>
      </c>
      <c r="W36" s="5" t="str">
        <f t="shared" si="1"/>
        <v>-8.2%</v>
      </c>
      <c r="X36" s="6" t="str">
        <f>VLOOKUP(Table7[[#This Row],[Model]],[1]!Table1[[Model]:[YoY %]],19,FALSE)</f>
        <v>0.7%</v>
      </c>
      <c r="Y36" s="6" t="str">
        <f>VLOOKUP(Table7[[#This Row],[Model]],[1]!Table1[[Model]:[YoY %]],20,FALSE)</f>
        <v>42.0%</v>
      </c>
    </row>
    <row r="37" spans="1:25" x14ac:dyDescent="0.3">
      <c r="A37" s="4" t="s">
        <v>78</v>
      </c>
      <c r="B37" s="4" t="s">
        <v>84</v>
      </c>
      <c r="C37" s="4"/>
      <c r="D37" s="4">
        <f>VLOOKUP(Table7[[#This Row],[Model]],'[1]MAIN(CAR DATA SALES 2024'!$B$2:$E$88,4,FALSE)</f>
        <v>6049</v>
      </c>
      <c r="E37" s="7">
        <v>6160</v>
      </c>
      <c r="F37" s="7">
        <v>5750</v>
      </c>
      <c r="G37" s="7">
        <v>5376</v>
      </c>
      <c r="H37" s="7">
        <v>4385</v>
      </c>
      <c r="I37" s="7">
        <v>4268</v>
      </c>
      <c r="J37" s="7">
        <v>8843</v>
      </c>
      <c r="K37" s="7">
        <v>7944</v>
      </c>
      <c r="L37" s="7">
        <v>8708</v>
      </c>
      <c r="M37" s="7">
        <v>7659</v>
      </c>
      <c r="N37" s="4">
        <f>VLOOKUP(Table7[[#This Row],[Model]],[1]!Table2[[Model]:[Mar-25]],2,FALSE)</f>
        <v>7557</v>
      </c>
      <c r="O37" s="4">
        <f>VLOOKUP(B37,'[1]CAR DATA SALES 2025'!$B$2:$E$94,3,FALSE)</f>
        <v>9248</v>
      </c>
      <c r="P37" s="4">
        <f>VLOOKUP(B37,'[1]CAR DATA SALES 2025'!$B$2:$E$94,4,FALSE)</f>
        <v>8936</v>
      </c>
      <c r="Q37" s="4">
        <f t="shared" si="2"/>
        <v>84834</v>
      </c>
      <c r="R37" s="4" t="s">
        <v>69</v>
      </c>
      <c r="S37" s="4" t="str">
        <f>VLOOKUP(B37,[1]WORKING!$B$2:$D$95,2,FALSE)</f>
        <v>PETROL/DIESEL</v>
      </c>
      <c r="T37" s="4" t="str">
        <f>VLOOKUP(B37,[1]WORKING!$B$2:$D$95,3,FALSE)</f>
        <v>ICE</v>
      </c>
      <c r="U37" s="4" t="s">
        <v>30</v>
      </c>
      <c r="V37" s="5" t="str">
        <f t="shared" si="0"/>
        <v>-3.4%</v>
      </c>
      <c r="W37" s="5" t="str">
        <f t="shared" si="1"/>
        <v>47.7%</v>
      </c>
      <c r="X37" s="6" t="str">
        <f>VLOOKUP(Table7[[#This Row],[Model]],[1]!Table1[[Model]:[YoY %]],19,FALSE)</f>
        <v>4.1%</v>
      </c>
      <c r="Y37" s="6" t="str">
        <f>VLOOKUP(Table7[[#This Row],[Model]],[1]!Table1[[Model]:[YoY %]],20,FALSE)</f>
        <v>17.2%</v>
      </c>
    </row>
    <row r="38" spans="1:25" x14ac:dyDescent="0.3">
      <c r="A38" s="4" t="s">
        <v>78</v>
      </c>
      <c r="B38" s="4" t="s">
        <v>85</v>
      </c>
      <c r="C38" s="4"/>
      <c r="D38" s="4">
        <f>VLOOKUP(Table7[[#This Row],[Model]],'[1]MAIN(CAR DATA SALES 2024'!$B$2:$E$88,4,FALSE)</f>
        <v>2072</v>
      </c>
      <c r="E38" s="7">
        <v>4003</v>
      </c>
      <c r="F38" s="7">
        <v>10000</v>
      </c>
      <c r="G38" s="7">
        <v>8500</v>
      </c>
      <c r="H38" s="7">
        <v>10000</v>
      </c>
      <c r="I38" s="7">
        <v>9000</v>
      </c>
      <c r="J38" s="7">
        <v>9000</v>
      </c>
      <c r="K38" s="7">
        <v>9562</v>
      </c>
      <c r="L38" s="7">
        <v>7656</v>
      </c>
      <c r="M38" s="7">
        <v>7000</v>
      </c>
      <c r="N38" s="4">
        <f>VLOOKUP(Table7[[#This Row],[Model]],[1]!Table2[[Model]:[Mar-25]],2,FALSE)</f>
        <v>8454</v>
      </c>
      <c r="O38" s="4">
        <f>VLOOKUP(B38,'[1]CAR DATA SALES 2025'!$B$2:$E$94,3,FALSE)</f>
        <v>7861</v>
      </c>
      <c r="P38" s="4">
        <f>VLOOKUP(B38,'[1]CAR DATA SALES 2025'!$B$2:$E$94,4,FALSE)</f>
        <v>2080</v>
      </c>
      <c r="Q38" s="4">
        <f t="shared" si="2"/>
        <v>93116</v>
      </c>
      <c r="R38" s="4" t="s">
        <v>32</v>
      </c>
      <c r="S38" s="4" t="str">
        <f>VLOOKUP(B38,[1]WORKING!$B$2:$D$95,2,FALSE)</f>
        <v>PETROL</v>
      </c>
      <c r="T38" s="4" t="str">
        <f>VLOOKUP(B38,[1]WORKING!$B$2:$D$95,3,FALSE)</f>
        <v>ICE</v>
      </c>
      <c r="U38" s="4" t="s">
        <v>30</v>
      </c>
      <c r="V38" s="5" t="str">
        <f t="shared" si="0"/>
        <v>-73.5%</v>
      </c>
      <c r="W38" s="5" t="str">
        <f t="shared" si="1"/>
        <v>0.4%</v>
      </c>
      <c r="X38" s="6" t="str">
        <f>VLOOKUP(Table7[[#This Row],[Model]],[1]!Table1[[Model]:[YoY %]],19,FALSE)</f>
        <v>-50.9%</v>
      </c>
      <c r="Y38" s="6" t="str">
        <f>VLOOKUP(Table7[[#This Row],[Model]],[1]!Table1[[Model]:[YoY %]],20,FALSE)</f>
        <v>-147.5%</v>
      </c>
    </row>
    <row r="39" spans="1:25" x14ac:dyDescent="0.3">
      <c r="A39" s="4" t="s">
        <v>78</v>
      </c>
      <c r="B39" s="4" t="s">
        <v>86</v>
      </c>
      <c r="C39" s="4"/>
      <c r="D39" s="4">
        <f>VLOOKUP(Table7[[#This Row],[Model]],'[1]MAIN(CAR DATA SALES 2024'!$B$2:$E$88,4,FALSE)</f>
        <v>350</v>
      </c>
      <c r="E39" s="4">
        <v>347</v>
      </c>
      <c r="F39" s="4">
        <v>701</v>
      </c>
      <c r="G39" s="4">
        <v>534</v>
      </c>
      <c r="H39" s="4">
        <v>288</v>
      </c>
      <c r="I39" s="4">
        <v>713</v>
      </c>
      <c r="J39" s="4">
        <v>948</v>
      </c>
      <c r="K39" s="7">
        <v>1000</v>
      </c>
      <c r="L39" s="7">
        <v>1000</v>
      </c>
      <c r="M39" s="7">
        <v>1296</v>
      </c>
      <c r="N39" s="4">
        <f>VLOOKUP(Table7[[#This Row],[Model]],[1]!Table2[[Model]:[Mar-25]],2,FALSE)</f>
        <v>288</v>
      </c>
      <c r="O39" s="4">
        <f>VLOOKUP(B39,'[1]CAR DATA SALES 2025'!$B$2:$E$94,3,FALSE)</f>
        <v>322</v>
      </c>
      <c r="P39" s="4">
        <f>VLOOKUP(B39,'[1]CAR DATA SALES 2025'!$B$2:$E$94,4,FALSE)</f>
        <v>7055</v>
      </c>
      <c r="Q39" s="4">
        <f t="shared" si="2"/>
        <v>14492</v>
      </c>
      <c r="R39" s="4" t="s">
        <v>29</v>
      </c>
      <c r="S39" s="4" t="str">
        <f>VLOOKUP(B39,[1]WORKING!$B$2:$D$95,2,FALSE)</f>
        <v>ELECTRIC</v>
      </c>
      <c r="T39" s="4" t="str">
        <f>VLOOKUP(B39,[1]WORKING!$B$2:$D$95,3,FALSE)</f>
        <v>EV</v>
      </c>
      <c r="U39" s="4" t="s">
        <v>30</v>
      </c>
      <c r="V39" s="5" t="str">
        <f t="shared" si="0"/>
        <v>Base Effect</v>
      </c>
      <c r="W39" s="5" t="str">
        <f t="shared" si="1"/>
        <v>Base Effect</v>
      </c>
      <c r="X39" s="6" t="str">
        <f>VLOOKUP(Table7[[#This Row],[Model]],[1]!Table1[[Model]:[YoY %]],19,FALSE)</f>
        <v>-42.6%</v>
      </c>
      <c r="Y39" s="6" t="str">
        <f>VLOOKUP(Table7[[#This Row],[Model]],[1]!Table1[[Model]:[YoY %]],20,FALSE)</f>
        <v>-445.4%</v>
      </c>
    </row>
    <row r="40" spans="1:25" x14ac:dyDescent="0.3">
      <c r="A40" s="4" t="s">
        <v>78</v>
      </c>
      <c r="B40" s="4" t="s">
        <v>87</v>
      </c>
      <c r="C40" s="4"/>
      <c r="D40" s="4">
        <f>VLOOKUP(Table7[[#This Row],[Model]],'[1]MAIN(CAR DATA SALES 2024'!$B$2:$E$88,4,FALSE)</f>
        <v>6611</v>
      </c>
      <c r="E40" s="7">
        <v>6134</v>
      </c>
      <c r="F40" s="7">
        <v>5008</v>
      </c>
      <c r="G40" s="7">
        <v>5928</v>
      </c>
      <c r="H40" s="7">
        <v>7769</v>
      </c>
      <c r="I40" s="7">
        <v>9007</v>
      </c>
      <c r="J40" s="7">
        <v>9646</v>
      </c>
      <c r="K40" s="7">
        <v>10435</v>
      </c>
      <c r="L40" s="7">
        <v>9100</v>
      </c>
      <c r="M40" s="7">
        <v>7337</v>
      </c>
      <c r="N40" s="4">
        <f>VLOOKUP(Table7[[#This Row],[Model]],[1]!Table2[[Model]:[Mar-25]],2,FALSE)</f>
        <v>8399</v>
      </c>
      <c r="O40" s="4">
        <f>VLOOKUP(B40,'[1]CAR DATA SALES 2025'!$B$2:$E$94,3,FALSE)</f>
        <v>7468</v>
      </c>
      <c r="P40" s="4">
        <f>VLOOKUP(B40,'[1]CAR DATA SALES 2025'!$B$2:$E$94,4,FALSE)</f>
        <v>238</v>
      </c>
      <c r="Q40" s="4">
        <f t="shared" si="2"/>
        <v>86469</v>
      </c>
      <c r="R40" s="4" t="s">
        <v>61</v>
      </c>
      <c r="S40" s="4" t="str">
        <f>VLOOKUP(B40,[1]WORKING!$B$2:$D$95,2,FALSE)</f>
        <v>PETROL/DIESEL</v>
      </c>
      <c r="T40" s="4" t="str">
        <f>VLOOKUP(B40,[1]WORKING!$B$2:$D$95,3,FALSE)</f>
        <v>ICE</v>
      </c>
      <c r="U40" s="4" t="s">
        <v>30</v>
      </c>
      <c r="V40" s="5" t="str">
        <f t="shared" si="0"/>
        <v>-96.8%</v>
      </c>
      <c r="W40" s="5" t="str">
        <f t="shared" si="1"/>
        <v>-96.4%</v>
      </c>
      <c r="X40" s="6" t="str">
        <f>VLOOKUP(Table7[[#This Row],[Model]],[1]!Table1[[Model]:[YoY %]],19,FALSE)</f>
        <v>1.0%</v>
      </c>
      <c r="Y40" s="6" t="str">
        <f>VLOOKUP(Table7[[#This Row],[Model]],[1]!Table1[[Model]:[YoY %]],20,FALSE)</f>
        <v>22.7%</v>
      </c>
    </row>
    <row r="41" spans="1:25" x14ac:dyDescent="0.3">
      <c r="A41" s="4" t="s">
        <v>78</v>
      </c>
      <c r="B41" s="4" t="s">
        <v>88</v>
      </c>
      <c r="C41" s="4" t="s">
        <v>89</v>
      </c>
      <c r="D41" s="4"/>
      <c r="E41" s="7"/>
      <c r="F41" s="7"/>
      <c r="G41" s="7"/>
      <c r="H41" s="7"/>
      <c r="I41" s="7"/>
      <c r="J41" s="7"/>
      <c r="K41" s="7"/>
      <c r="L41" s="7">
        <v>0</v>
      </c>
      <c r="M41" s="7">
        <v>0</v>
      </c>
      <c r="N41" s="4">
        <f>VLOOKUP(Table7[[#This Row],[Model]],[1]!Table2[[Model]:[Mar-25]],2,FALSE)</f>
        <v>700</v>
      </c>
      <c r="O41" s="4">
        <f>VLOOKUP(B41,'[1]CAR DATA SALES 2025'!$B$2:$E$94,3,FALSE)</f>
        <v>991</v>
      </c>
      <c r="P41" s="4">
        <f>VLOOKUP(B41,'[1]CAR DATA SALES 2025'!$B$2:$E$94,4,FALSE)</f>
        <v>934</v>
      </c>
      <c r="Q41" s="4">
        <f t="shared" si="2"/>
        <v>2625</v>
      </c>
      <c r="R41" s="4" t="s">
        <v>29</v>
      </c>
      <c r="S41" s="4" t="str">
        <f>VLOOKUP(B41,[1]WORKING!$B$2:$D$95,2,FALSE)</f>
        <v>ELECTRIC</v>
      </c>
      <c r="T41" s="4" t="str">
        <f>VLOOKUP(B41,[1]WORKING!$B$2:$D$95,3,FALSE)</f>
        <v>EV</v>
      </c>
      <c r="U41" s="4" t="s">
        <v>30</v>
      </c>
      <c r="V41" s="5" t="str">
        <f t="shared" si="0"/>
        <v>-5.8%</v>
      </c>
      <c r="W41" s="5" t="str">
        <f t="shared" si="1"/>
        <v>N/A</v>
      </c>
      <c r="X41" s="6" t="str">
        <f>VLOOKUP(Table7[[#This Row],[Model]],[1]!Table1[[Model]:[YoY %]],19,FALSE)</f>
        <v>N/A</v>
      </c>
      <c r="Y41" s="6" t="str">
        <f>VLOOKUP(Table7[[#This Row],[Model]],[1]!Table1[[Model]:[YoY %]],20,FALSE)</f>
        <v>N/A</v>
      </c>
    </row>
    <row r="42" spans="1:25" x14ac:dyDescent="0.3">
      <c r="A42" s="4" t="s">
        <v>78</v>
      </c>
      <c r="B42" s="4" t="s">
        <v>90</v>
      </c>
      <c r="C42" s="4" t="s">
        <v>89</v>
      </c>
      <c r="D42" s="4"/>
      <c r="E42" s="7"/>
      <c r="F42" s="7"/>
      <c r="G42" s="7"/>
      <c r="H42" s="7"/>
      <c r="I42" s="7"/>
      <c r="J42" s="7"/>
      <c r="K42" s="7"/>
      <c r="L42" s="7">
        <v>0</v>
      </c>
      <c r="M42" s="7">
        <v>0</v>
      </c>
      <c r="N42" s="4">
        <f>VLOOKUP(Table7[[#This Row],[Model]],[1]!Table2[[Model]:[Mar-25]],2,FALSE)</f>
        <v>1137</v>
      </c>
      <c r="O42" s="4">
        <f>VLOOKUP(B42,'[1]CAR DATA SALES 2025'!$B$2:$E$94,3,FALSE)</f>
        <v>2205</v>
      </c>
      <c r="P42" s="4">
        <f>VLOOKUP(B42,'[1]CAR DATA SALES 2025'!$B$2:$E$94,4,FALSE)</f>
        <v>2080</v>
      </c>
      <c r="Q42" s="4">
        <f t="shared" si="2"/>
        <v>5422</v>
      </c>
      <c r="R42" s="4" t="s">
        <v>61</v>
      </c>
      <c r="S42" s="4" t="str">
        <f>VLOOKUP(B42,[1]WORKING!$B$2:$D$95,2,FALSE)</f>
        <v>ELECTRIC</v>
      </c>
      <c r="T42" s="4" t="str">
        <f>VLOOKUP(B42,[1]WORKING!$B$2:$D$95,3,FALSE)</f>
        <v>EV</v>
      </c>
      <c r="U42" s="4" t="s">
        <v>30</v>
      </c>
      <c r="V42" s="5" t="str">
        <f t="shared" si="0"/>
        <v>-5.7%</v>
      </c>
      <c r="W42" s="5" t="str">
        <f t="shared" si="1"/>
        <v>N/A</v>
      </c>
      <c r="X42" s="6" t="str">
        <f>VLOOKUP(Table7[[#This Row],[Model]],[1]!Table1[[Model]:[YoY %]],19,FALSE)</f>
        <v>N/A</v>
      </c>
      <c r="Y42" s="6" t="str">
        <f>VLOOKUP(Table7[[#This Row],[Model]],[1]!Table1[[Model]:[YoY %]],20,FALSE)</f>
        <v>N/A</v>
      </c>
    </row>
    <row r="43" spans="1:25" x14ac:dyDescent="0.3">
      <c r="A43" s="4" t="s">
        <v>91</v>
      </c>
      <c r="B43" s="4" t="s">
        <v>92</v>
      </c>
      <c r="C43" s="4"/>
      <c r="D43" s="4">
        <f>VLOOKUP(Table7[[#This Row],[Model]],'[1]MAIN(CAR DATA SALES 2024'!$B$2:$E$88,4,FALSE)</f>
        <v>9332</v>
      </c>
      <c r="E43" s="7">
        <v>9043</v>
      </c>
      <c r="F43" s="7">
        <v>7675</v>
      </c>
      <c r="G43" s="7">
        <v>7775</v>
      </c>
      <c r="H43" s="7">
        <v>7353</v>
      </c>
      <c r="I43" s="7">
        <v>8546</v>
      </c>
      <c r="J43" s="7">
        <v>8655</v>
      </c>
      <c r="K43" s="7">
        <v>8548</v>
      </c>
      <c r="L43" s="7">
        <v>7467</v>
      </c>
      <c r="M43" s="7">
        <v>7410</v>
      </c>
      <c r="N43" s="4">
        <f>VLOOKUP(Table7[[#This Row],[Model]],[1]!Table2[[Model]:[Mar-25]],2,FALSE)</f>
        <v>11352</v>
      </c>
      <c r="O43" s="4">
        <f>VLOOKUP(B43,'[1]CAR DATA SALES 2025'!$B$2:$E$94,3,FALSE)</f>
        <v>8541</v>
      </c>
      <c r="P43" s="4">
        <f>VLOOKUP(B43,'[1]CAR DATA SALES 2025'!$B$2:$E$94,4,FALSE)</f>
        <v>9867</v>
      </c>
      <c r="Q43" s="4">
        <f>SUM(D43:P43)</f>
        <v>111564</v>
      </c>
      <c r="R43" s="4" t="s">
        <v>93</v>
      </c>
      <c r="S43" s="4" t="str">
        <f>VLOOKUP(B43,[1]WORKING!$B$2:$D$95,2,FALSE)</f>
        <v>PETROL</v>
      </c>
      <c r="T43" s="4" t="str">
        <f>VLOOKUP(B43,[1]WORKING!$B$2:$D$95,3,FALSE)</f>
        <v>ICE</v>
      </c>
      <c r="U43" s="4" t="s">
        <v>33</v>
      </c>
      <c r="V43" s="5" t="str">
        <f t="shared" si="0"/>
        <v>15.5%</v>
      </c>
      <c r="W43" s="5" t="str">
        <f t="shared" si="1"/>
        <v>5.7%</v>
      </c>
      <c r="X43" s="6" t="str">
        <f>VLOOKUP(Table7[[#This Row],[Model]],[1]!Table1[[Model]:[YoY %]],19,FALSE)</f>
        <v>-20.4%</v>
      </c>
      <c r="Y43" s="6" t="str">
        <f>VLOOKUP(Table7[[#This Row],[Model]],[1]!Table1[[Model]:[YoY %]],20,FALSE)</f>
        <v>2.1%</v>
      </c>
    </row>
    <row r="44" spans="1:25" x14ac:dyDescent="0.3">
      <c r="A44" s="4" t="s">
        <v>91</v>
      </c>
      <c r="B44" s="4" t="s">
        <v>94</v>
      </c>
      <c r="C44" s="4"/>
      <c r="D44" s="4">
        <f>VLOOKUP(Table7[[#This Row],[Model]],'[1]MAIN(CAR DATA SALES 2024'!$B$2:$E$88,4,FALSE)</f>
        <v>15588</v>
      </c>
      <c r="E44" s="7">
        <v>14049</v>
      </c>
      <c r="F44" s="7">
        <v>12842</v>
      </c>
      <c r="G44" s="7">
        <v>14895</v>
      </c>
      <c r="H44" s="7">
        <v>9309</v>
      </c>
      <c r="I44" s="7">
        <v>12485</v>
      </c>
      <c r="J44" s="7">
        <v>14292</v>
      </c>
      <c r="K44" s="7">
        <v>16082</v>
      </c>
      <c r="L44" s="7">
        <v>16293</v>
      </c>
      <c r="M44" s="7">
        <v>9112</v>
      </c>
      <c r="N44" s="4">
        <f>VLOOKUP(Table7[[#This Row],[Model]],[1]!Table2[[Model]:[Mar-25]],2,FALSE)</f>
        <v>19965</v>
      </c>
      <c r="O44" s="4">
        <f>VLOOKUP(B44,'[1]CAR DATA SALES 2025'!$B$2:$E$94,3,FALSE)</f>
        <v>15480</v>
      </c>
      <c r="P44" s="4">
        <f>VLOOKUP(B44,'[1]CAR DATA SALES 2025'!$B$2:$E$94,4,FALSE)</f>
        <v>12357</v>
      </c>
      <c r="Q44" s="4">
        <f t="shared" ref="Q44:Q59" si="3">SUM(D44:P44)</f>
        <v>182749</v>
      </c>
      <c r="R44" s="4" t="s">
        <v>50</v>
      </c>
      <c r="S44" s="4" t="str">
        <f>VLOOKUP(B44,[1]WORKING!$B$2:$D$95,2,FALSE)</f>
        <v>PETROL</v>
      </c>
      <c r="T44" s="4" t="str">
        <f>VLOOKUP(B44,[1]WORKING!$B$2:$D$95,3,FALSE)</f>
        <v>ICE</v>
      </c>
      <c r="U44" s="4" t="s">
        <v>33</v>
      </c>
      <c r="V44" s="5" t="str">
        <f t="shared" si="0"/>
        <v>-20.2%</v>
      </c>
      <c r="W44" s="5" t="str">
        <f t="shared" si="1"/>
        <v>-20.7%</v>
      </c>
      <c r="X44" s="6" t="str">
        <f>VLOOKUP(Table7[[#This Row],[Model]],[1]!Table1[[Model]:[YoY %]],19,FALSE)</f>
        <v>-11.0%</v>
      </c>
      <c r="Y44" s="6" t="str">
        <f>VLOOKUP(Table7[[#This Row],[Model]],[1]!Table1[[Model]:[YoY %]],20,FALSE)</f>
        <v>-3.7%</v>
      </c>
    </row>
    <row r="45" spans="1:25" x14ac:dyDescent="0.3">
      <c r="A45" s="4" t="s">
        <v>91</v>
      </c>
      <c r="B45" s="4" t="s">
        <v>95</v>
      </c>
      <c r="C45" s="4"/>
      <c r="D45" s="4">
        <f>VLOOKUP(Table7[[#This Row],[Model]],'[1]MAIN(CAR DATA SALES 2024'!$B$2:$E$88,4,FALSE)</f>
        <v>14614</v>
      </c>
      <c r="E45" s="7">
        <v>17113</v>
      </c>
      <c r="F45" s="7">
        <v>14186</v>
      </c>
      <c r="G45" s="7">
        <v>13172</v>
      </c>
      <c r="H45" s="7">
        <v>14676</v>
      </c>
      <c r="I45" s="7">
        <v>19190</v>
      </c>
      <c r="J45" s="7">
        <v>15322</v>
      </c>
      <c r="K45" s="7">
        <v>16565</v>
      </c>
      <c r="L45" s="7">
        <v>14918</v>
      </c>
      <c r="M45" s="7">
        <v>17336</v>
      </c>
      <c r="N45" s="4">
        <f>VLOOKUP(Table7[[#This Row],[Model]],[1]!Table2[[Model]:[Mar-25]],2,FALSE)</f>
        <v>14747</v>
      </c>
      <c r="O45" s="4">
        <f>VLOOKUP(B45,'[1]CAR DATA SALES 2025'!$B$2:$E$94,3,FALSE)</f>
        <v>15392</v>
      </c>
      <c r="P45" s="4">
        <f>VLOOKUP(B45,'[1]CAR DATA SALES 2025'!$B$2:$E$94,4,FALSE)</f>
        <v>16546</v>
      </c>
      <c r="Q45" s="4">
        <f t="shared" si="3"/>
        <v>203777</v>
      </c>
      <c r="R45" s="4" t="s">
        <v>32</v>
      </c>
      <c r="S45" s="4" t="str">
        <f>VLOOKUP(B45,[1]WORKING!$B$2:$D$95,2,FALSE)</f>
        <v>PETROL/CNG</v>
      </c>
      <c r="T45" s="4" t="str">
        <f>VLOOKUP(B45,[1]WORKING!$B$2:$D$95,3,FALSE)</f>
        <v>ICE</v>
      </c>
      <c r="U45" s="4" t="s">
        <v>30</v>
      </c>
      <c r="V45" s="5" t="str">
        <f t="shared" si="0"/>
        <v>7.5%</v>
      </c>
      <c r="W45" s="5" t="str">
        <f t="shared" si="1"/>
        <v>13.2%</v>
      </c>
      <c r="X45" s="6" t="str">
        <f>VLOOKUP(Table7[[#This Row],[Model]],[1]!Table1[[Model]:[YoY %]],19,FALSE)</f>
        <v>-7.3%</v>
      </c>
      <c r="Y45" s="6" t="str">
        <f>VLOOKUP(Table7[[#This Row],[Model]],[1]!Table1[[Model]:[YoY %]],20,FALSE)</f>
        <v>-11.0%</v>
      </c>
    </row>
    <row r="46" spans="1:25" x14ac:dyDescent="0.3">
      <c r="A46" s="4" t="s">
        <v>91</v>
      </c>
      <c r="B46" s="4" t="s">
        <v>96</v>
      </c>
      <c r="C46" s="4"/>
      <c r="D46" s="4">
        <f>VLOOKUP(Table7[[#This Row],[Model]],'[1]MAIN(CAR DATA SALES 2024'!$B$2:$E$88,4,FALSE)</f>
        <v>3478</v>
      </c>
      <c r="E46" s="7">
        <v>3220</v>
      </c>
      <c r="F46" s="7">
        <v>3314</v>
      </c>
      <c r="G46" s="7">
        <v>2985</v>
      </c>
      <c r="H46" s="7">
        <v>2465</v>
      </c>
      <c r="I46" s="7">
        <v>3181</v>
      </c>
      <c r="J46" s="7">
        <v>3241</v>
      </c>
      <c r="K46" s="7">
        <v>3044</v>
      </c>
      <c r="L46" s="7">
        <v>2379</v>
      </c>
      <c r="M46" s="4">
        <v>748</v>
      </c>
      <c r="N46" s="4">
        <f>VLOOKUP(Table7[[#This Row],[Model]],[1]!Table2[[Model]:[Mar-25]],2,FALSE)</f>
        <v>1954</v>
      </c>
      <c r="O46" s="4">
        <f>VLOOKUP(B46,'[1]CAR DATA SALES 2025'!$B$2:$E$94,3,FALSE)</f>
        <v>4226</v>
      </c>
      <c r="P46" s="4">
        <f>VLOOKUP(B46,'[1]CAR DATA SALES 2025'!$B$2:$E$94,4,FALSE)</f>
        <v>2268</v>
      </c>
      <c r="Q46" s="4">
        <f t="shared" si="3"/>
        <v>36503</v>
      </c>
      <c r="R46" s="4" t="s">
        <v>97</v>
      </c>
      <c r="S46" s="4" t="str">
        <f>VLOOKUP(B46,[1]WORKING!$B$2:$D$95,2,FALSE)</f>
        <v>PETROL/CNG</v>
      </c>
      <c r="T46" s="4" t="str">
        <f>VLOOKUP(B46,[1]WORKING!$B$2:$D$95,3,FALSE)</f>
        <v>ICE</v>
      </c>
      <c r="U46" s="4" t="s">
        <v>33</v>
      </c>
      <c r="V46" s="5" t="str">
        <f t="shared" si="0"/>
        <v>-46.3%</v>
      </c>
      <c r="W46" s="5" t="str">
        <f t="shared" si="1"/>
        <v>-34.8%</v>
      </c>
      <c r="X46" s="6" t="str">
        <f>VLOOKUP(Table7[[#This Row],[Model]],[1]!Table1[[Model]:[YoY %]],19,FALSE)</f>
        <v>-3.0%</v>
      </c>
      <c r="Y46" s="6" t="str">
        <f>VLOOKUP(Table7[[#This Row],[Model]],[1]!Table1[[Model]:[YoY %]],20,FALSE)</f>
        <v>-33.6%</v>
      </c>
    </row>
    <row r="47" spans="1:25" x14ac:dyDescent="0.3">
      <c r="A47" s="4" t="s">
        <v>91</v>
      </c>
      <c r="B47" s="4" t="s">
        <v>98</v>
      </c>
      <c r="C47" s="4"/>
      <c r="D47" s="4">
        <f>VLOOKUP(Table7[[#This Row],[Model]],'[1]MAIN(CAR DATA SALES 2024'!$B$2:$E$88,4,FALSE)</f>
        <v>590</v>
      </c>
      <c r="E47" s="4">
        <v>867</v>
      </c>
      <c r="F47" s="4">
        <v>730</v>
      </c>
      <c r="G47" s="4">
        <v>572</v>
      </c>
      <c r="H47" s="4">
        <v>603</v>
      </c>
      <c r="I47" s="4">
        <v>707</v>
      </c>
      <c r="J47" s="4">
        <v>662</v>
      </c>
      <c r="K47" s="4">
        <v>659</v>
      </c>
      <c r="L47" s="4">
        <v>597</v>
      </c>
      <c r="M47" s="4">
        <v>464</v>
      </c>
      <c r="N47" s="4">
        <f>VLOOKUP(Table7[[#This Row],[Model]],[1]!Table2[[Model]:[Mar-25]],2,FALSE)</f>
        <v>768</v>
      </c>
      <c r="O47" s="4">
        <f>VLOOKUP(B47,'[1]CAR DATA SALES 2025'!$B$2:$E$94,3,FALSE)</f>
        <v>1097</v>
      </c>
      <c r="P47" s="4">
        <f>VLOOKUP(B47,'[1]CAR DATA SALES 2025'!$B$2:$E$94,4,FALSE)</f>
        <v>676</v>
      </c>
      <c r="Q47" s="4">
        <f t="shared" si="3"/>
        <v>8992</v>
      </c>
      <c r="R47" s="4" t="s">
        <v>29</v>
      </c>
      <c r="S47" s="4" t="str">
        <f>VLOOKUP(B47,[1]WORKING!$B$2:$D$95,2,FALSE)</f>
        <v>PETROL/CNG</v>
      </c>
      <c r="T47" s="4" t="str">
        <f>VLOOKUP(B47,[1]WORKING!$B$2:$D$95,3,FALSE)</f>
        <v>ICE</v>
      </c>
      <c r="U47" s="4" t="s">
        <v>40</v>
      </c>
      <c r="V47" s="5" t="str">
        <f t="shared" si="0"/>
        <v>-38.4%</v>
      </c>
      <c r="W47" s="5" t="str">
        <f t="shared" si="1"/>
        <v>14.6%</v>
      </c>
      <c r="X47" s="6" t="str">
        <f>VLOOKUP(Table7[[#This Row],[Model]],[1]!Table1[[Model]:[YoY %]],19,FALSE)</f>
        <v>22.7%</v>
      </c>
      <c r="Y47" s="6" t="str">
        <f>VLOOKUP(Table7[[#This Row],[Model]],[1]!Table1[[Model]:[YoY %]],20,FALSE)</f>
        <v>49.2%</v>
      </c>
    </row>
    <row r="48" spans="1:25" x14ac:dyDescent="0.3">
      <c r="A48" s="4" t="s">
        <v>91</v>
      </c>
      <c r="B48" s="4" t="s">
        <v>99</v>
      </c>
      <c r="C48" s="4"/>
      <c r="D48" s="4">
        <f>VLOOKUP(Table7[[#This Row],[Model]],'[1]MAIN(CAR DATA SALES 2024'!$B$2:$E$88,4,FALSE)</f>
        <v>15894</v>
      </c>
      <c r="E48" s="7">
        <v>15825</v>
      </c>
      <c r="F48" s="7">
        <v>16061</v>
      </c>
      <c r="G48" s="7">
        <v>13421</v>
      </c>
      <c r="H48" s="7">
        <v>11647</v>
      </c>
      <c r="I48" s="7">
        <v>10627</v>
      </c>
      <c r="J48" s="7">
        <v>10853</v>
      </c>
      <c r="K48" s="7">
        <v>12698</v>
      </c>
      <c r="L48" s="7">
        <v>11779</v>
      </c>
      <c r="M48" s="7">
        <v>16573</v>
      </c>
      <c r="N48" s="4">
        <f>VLOOKUP(Table7[[#This Row],[Model]],[1]!Table2[[Model]:[Mar-25]],2,FALSE)</f>
        <v>15383</v>
      </c>
      <c r="O48" s="4">
        <f>VLOOKUP(B48,'[1]CAR DATA SALES 2025'!$B$2:$E$94,3,FALSE)</f>
        <v>14694</v>
      </c>
      <c r="P48" s="4">
        <f>VLOOKUP(B48,'[1]CAR DATA SALES 2025'!$B$2:$E$94,4,FALSE)</f>
        <v>15460</v>
      </c>
      <c r="Q48" s="4">
        <f t="shared" si="3"/>
        <v>180915</v>
      </c>
      <c r="R48" s="4" t="s">
        <v>32</v>
      </c>
      <c r="S48" s="4" t="str">
        <f>VLOOKUP(B48,[1]WORKING!$B$2:$D$95,2,FALSE)</f>
        <v>PETROL/CNG</v>
      </c>
      <c r="T48" s="4" t="str">
        <f>VLOOKUP(B48,[1]WORKING!$B$2:$D$95,3,FALSE)</f>
        <v>ICE</v>
      </c>
      <c r="U48" s="4" t="s">
        <v>40</v>
      </c>
      <c r="V48" s="5" t="str">
        <f t="shared" si="0"/>
        <v>5.2%</v>
      </c>
      <c r="W48" s="5" t="str">
        <f t="shared" si="1"/>
        <v>-2.7%</v>
      </c>
      <c r="X48" s="6" t="str">
        <f>VLOOKUP(Table7[[#This Row],[Model]],[1]!Table1[[Model]:[YoY %]],19,FALSE)</f>
        <v>0.4%</v>
      </c>
      <c r="Y48" s="6" t="str">
        <f>VLOOKUP(Table7[[#This Row],[Model]],[1]!Table1[[Model]:[YoY %]],20,FALSE)</f>
        <v>15.7%</v>
      </c>
    </row>
    <row r="49" spans="1:25" x14ac:dyDescent="0.3">
      <c r="A49" s="4" t="s">
        <v>91</v>
      </c>
      <c r="B49" s="4" t="s">
        <v>100</v>
      </c>
      <c r="C49" s="4"/>
      <c r="D49" s="4">
        <f>VLOOKUP(Table7[[#This Row],[Model]],'[1]MAIN(CAR DATA SALES 2024'!$B$2:$E$88,4,FALSE)</f>
        <v>12019</v>
      </c>
      <c r="E49" s="7">
        <v>12060</v>
      </c>
      <c r="F49" s="7">
        <v>10960</v>
      </c>
      <c r="G49" s="7">
        <v>10771</v>
      </c>
      <c r="H49" s="7">
        <v>11916</v>
      </c>
      <c r="I49" s="7">
        <v>10985</v>
      </c>
      <c r="J49" s="7">
        <v>11908</v>
      </c>
      <c r="K49" s="7">
        <v>11653</v>
      </c>
      <c r="L49" s="7">
        <v>10589</v>
      </c>
      <c r="M49" s="7">
        <v>11678</v>
      </c>
      <c r="N49" s="4">
        <f>VLOOKUP(Table7[[#This Row],[Model]],[1]!Table2[[Model]:[Mar-25]],2,FALSE)</f>
        <v>11250</v>
      </c>
      <c r="O49" s="4">
        <f>VLOOKUP(B49,'[1]CAR DATA SALES 2025'!$B$2:$E$94,3,FALSE)</f>
        <v>11493</v>
      </c>
      <c r="P49" s="4">
        <f>VLOOKUP(B49,'[1]CAR DATA SALES 2025'!$B$2:$E$94,4,FALSE)</f>
        <v>10409</v>
      </c>
      <c r="Q49" s="4">
        <f t="shared" si="3"/>
        <v>147691</v>
      </c>
      <c r="R49" s="4" t="s">
        <v>69</v>
      </c>
      <c r="S49" s="4" t="str">
        <f>VLOOKUP(B49,[1]WORKING!$B$2:$D$95,2,FALSE)</f>
        <v>PETROL/CNG</v>
      </c>
      <c r="T49" s="4" t="str">
        <f>VLOOKUP(B49,[1]WORKING!$B$2:$D$95,3,FALSE)</f>
        <v>ICE</v>
      </c>
      <c r="U49" s="4" t="s">
        <v>46</v>
      </c>
      <c r="V49" s="5" t="str">
        <f t="shared" si="0"/>
        <v>-9.4%</v>
      </c>
      <c r="W49" s="5" t="str">
        <f t="shared" si="1"/>
        <v>-13.4%</v>
      </c>
      <c r="X49" s="6" t="str">
        <f>VLOOKUP(Table7[[#This Row],[Model]],[1]!Table1[[Model]:[YoY %]],19,FALSE)</f>
        <v>-1.1%</v>
      </c>
      <c r="Y49" s="6" t="str">
        <f>VLOOKUP(Table7[[#This Row],[Model]],[1]!Table1[[Model]:[YoY %]],20,FALSE)</f>
        <v>0.2%</v>
      </c>
    </row>
    <row r="50" spans="1:25" x14ac:dyDescent="0.3">
      <c r="A50" s="4" t="s">
        <v>91</v>
      </c>
      <c r="B50" s="4" t="s">
        <v>101</v>
      </c>
      <c r="C50" s="4"/>
      <c r="D50" s="4">
        <f>VLOOKUP(Table7[[#This Row],[Model]],'[1]MAIN(CAR DATA SALES 2024'!$B$2:$E$88,4,FALSE)</f>
        <v>14888</v>
      </c>
      <c r="E50" s="7">
        <v>13544</v>
      </c>
      <c r="F50" s="7">
        <v>13893</v>
      </c>
      <c r="G50" s="7">
        <v>15902</v>
      </c>
      <c r="H50" s="7">
        <v>15701</v>
      </c>
      <c r="I50" s="7">
        <v>18580</v>
      </c>
      <c r="J50" s="7">
        <v>17441</v>
      </c>
      <c r="K50" s="7">
        <v>18785</v>
      </c>
      <c r="L50" s="7">
        <v>15150</v>
      </c>
      <c r="M50" s="7">
        <v>16056</v>
      </c>
      <c r="N50" s="4">
        <f>VLOOKUP(Table7[[#This Row],[Model]],[1]!Table2[[Model]:[Mar-25]],2,FALSE)</f>
        <v>14248</v>
      </c>
      <c r="O50" s="4">
        <f>VLOOKUP(B50,'[1]CAR DATA SALES 2025'!$B$2:$E$94,3,FALSE)</f>
        <v>14868</v>
      </c>
      <c r="P50" s="4">
        <f>VLOOKUP(B50,'[1]CAR DATA SALES 2025'!$B$2:$E$94,4,FALSE)</f>
        <v>16804</v>
      </c>
      <c r="Q50" s="4">
        <f t="shared" si="3"/>
        <v>205860</v>
      </c>
      <c r="R50" s="4" t="s">
        <v>69</v>
      </c>
      <c r="S50" s="4" t="str">
        <f>VLOOKUP(B50,[1]WORKING!$B$2:$D$95,2,FALSE)</f>
        <v>PETROL/CNG</v>
      </c>
      <c r="T50" s="4" t="str">
        <f>VLOOKUP(B50,[1]WORKING!$B$2:$D$95,3,FALSE)</f>
        <v>ICE</v>
      </c>
      <c r="U50" s="4" t="s">
        <v>46</v>
      </c>
      <c r="V50" s="5" t="str">
        <f t="shared" si="0"/>
        <v>13.0%</v>
      </c>
      <c r="W50" s="5" t="str">
        <f t="shared" si="1"/>
        <v>12.9%</v>
      </c>
      <c r="X50" s="6" t="str">
        <f>VLOOKUP(Table7[[#This Row],[Model]],[1]!Table1[[Model]:[YoY %]],19,FALSE)</f>
        <v>-4.1%</v>
      </c>
      <c r="Y50" s="6" t="str">
        <f>VLOOKUP(Table7[[#This Row],[Model]],[1]!Table1[[Model]:[YoY %]],20,FALSE)</f>
        <v>39.4%</v>
      </c>
    </row>
    <row r="51" spans="1:25" x14ac:dyDescent="0.3">
      <c r="A51" s="4" t="s">
        <v>91</v>
      </c>
      <c r="B51" s="4" t="s">
        <v>102</v>
      </c>
      <c r="C51" s="9" t="s">
        <v>103</v>
      </c>
      <c r="D51" s="4">
        <f>VLOOKUP(Table7[[#This Row],[Model]],'[1]MAIN(CAR DATA SALES 2024'!$B$2:$E$88,4,FALSE)</f>
        <v>12531</v>
      </c>
      <c r="E51" s="7">
        <v>14286</v>
      </c>
      <c r="F51" s="7">
        <v>12681</v>
      </c>
      <c r="G51" s="7">
        <v>9688</v>
      </c>
      <c r="H51" s="7">
        <v>10925</v>
      </c>
      <c r="I51" s="7">
        <v>12387</v>
      </c>
      <c r="J51" s="7">
        <v>13874</v>
      </c>
      <c r="K51" s="7">
        <v>16419</v>
      </c>
      <c r="L51" s="7">
        <v>14882</v>
      </c>
      <c r="M51" s="7">
        <v>10752</v>
      </c>
      <c r="N51" s="4">
        <f>VLOOKUP(Table7[[#This Row],[Model]],[1]!Table2[[Model]:[Mar-25]],2,FALSE)</f>
        <v>15192</v>
      </c>
      <c r="O51" s="4">
        <f>VLOOKUP(B51,'[1]CAR DATA SALES 2025'!$B$2:$E$94,3,FALSE)</f>
        <v>21461</v>
      </c>
      <c r="P51" s="4">
        <f>VLOOKUP(B51,'[1]CAR DATA SALES 2025'!$B$2:$E$94,4,FALSE)</f>
        <v>13669</v>
      </c>
      <c r="Q51" s="4">
        <f t="shared" si="3"/>
        <v>178747</v>
      </c>
      <c r="R51" s="4" t="s">
        <v>32</v>
      </c>
      <c r="S51" s="4" t="str">
        <f>VLOOKUP(B51,[1]WORKING!$B$2:$D$95,2,FALSE)</f>
        <v>PETROL</v>
      </c>
      <c r="T51" s="4" t="str">
        <f>VLOOKUP(B51,[1]WORKING!$B$2:$D$95,3,FALSE)</f>
        <v>ICE</v>
      </c>
      <c r="U51" s="4" t="s">
        <v>30</v>
      </c>
      <c r="V51" s="5" t="str">
        <f t="shared" si="0"/>
        <v>-36.3%</v>
      </c>
      <c r="W51" s="5" t="str">
        <f t="shared" si="1"/>
        <v>9.1%</v>
      </c>
      <c r="X51" s="6" t="str">
        <f>VLOOKUP(Table7[[#This Row],[Model]],[1]!Table1[[Model]:[YoY %]],19,FALSE)</f>
        <v>-11.6%</v>
      </c>
      <c r="Y51" s="6" t="str">
        <f>VLOOKUP(Table7[[#This Row],[Model]],[1]!Table1[[Model]:[YoY %]],20,FALSE)</f>
        <v>N/A</v>
      </c>
    </row>
    <row r="52" spans="1:25" x14ac:dyDescent="0.3">
      <c r="A52" s="4" t="s">
        <v>91</v>
      </c>
      <c r="B52" s="4" t="s">
        <v>104</v>
      </c>
      <c r="C52" s="4"/>
      <c r="D52" s="4">
        <f>VLOOKUP(Table7[[#This Row],[Model]],'[1]MAIN(CAR DATA SALES 2024'!$B$2:$E$88,4,FALSE)</f>
        <v>11232</v>
      </c>
      <c r="E52" s="7">
        <v>7651</v>
      </c>
      <c r="F52" s="7">
        <v>9736</v>
      </c>
      <c r="G52" s="7">
        <v>9679</v>
      </c>
      <c r="H52" s="7">
        <v>9397</v>
      </c>
      <c r="I52" s="7">
        <v>9021</v>
      </c>
      <c r="J52" s="7">
        <v>10267</v>
      </c>
      <c r="K52" s="7">
        <v>14083</v>
      </c>
      <c r="L52" s="7">
        <v>10148</v>
      </c>
      <c r="M52" s="7">
        <v>7093</v>
      </c>
      <c r="N52" s="4">
        <f>VLOOKUP(Table7[[#This Row],[Model]],[1]!Table2[[Model]:[Mar-25]],2,FALSE)</f>
        <v>15784</v>
      </c>
      <c r="O52" s="4">
        <f>VLOOKUP(B52,'[1]CAR DATA SALES 2025'!$B$2:$E$94,3,FALSE)</f>
        <v>10669</v>
      </c>
      <c r="P52" s="4">
        <f>VLOOKUP(B52,'[1]CAR DATA SALES 2025'!$B$2:$E$94,4,FALSE)</f>
        <v>10418</v>
      </c>
      <c r="Q52" s="4">
        <f t="shared" si="3"/>
        <v>135178</v>
      </c>
      <c r="R52" s="4" t="s">
        <v>29</v>
      </c>
      <c r="S52" s="4" t="str">
        <f>VLOOKUP(B52,[1]WORKING!$B$2:$D$95,2,FALSE)</f>
        <v>PETROL/CNG</v>
      </c>
      <c r="T52" s="4" t="str">
        <f>VLOOKUP(B52,[1]WORKING!$B$2:$D$95,3,FALSE)</f>
        <v>ICE</v>
      </c>
      <c r="U52" s="4" t="s">
        <v>30</v>
      </c>
      <c r="V52" s="5" t="str">
        <f t="shared" si="0"/>
        <v>-2.4%</v>
      </c>
      <c r="W52" s="5" t="str">
        <f t="shared" si="1"/>
        <v>-7.2%</v>
      </c>
      <c r="X52" s="6" t="str">
        <f>VLOOKUP(Table7[[#This Row],[Model]],[1]!Table1[[Model]:[YoY %]],19,FALSE)</f>
        <v>2.1%</v>
      </c>
      <c r="Y52" s="6" t="str">
        <f>VLOOKUP(Table7[[#This Row],[Model]],[1]!Table1[[Model]:[YoY %]],20,FALSE)</f>
        <v>10.6%</v>
      </c>
    </row>
    <row r="53" spans="1:25" x14ac:dyDescent="0.3">
      <c r="A53" s="4" t="s">
        <v>91</v>
      </c>
      <c r="B53" s="4" t="s">
        <v>105</v>
      </c>
      <c r="C53" s="4"/>
      <c r="D53" s="4">
        <f>VLOOKUP(Table7[[#This Row],[Model]],'[1]MAIN(CAR DATA SALES 2024'!$B$2:$E$88,4,FALSE)</f>
        <v>2788</v>
      </c>
      <c r="E53" s="7">
        <v>1915</v>
      </c>
      <c r="F53" s="7">
        <v>2104</v>
      </c>
      <c r="G53" s="7">
        <v>2536</v>
      </c>
      <c r="H53" s="7">
        <v>2216</v>
      </c>
      <c r="I53" s="7">
        <v>2464</v>
      </c>
      <c r="J53" s="7">
        <v>2514</v>
      </c>
      <c r="K53" s="7">
        <v>2663</v>
      </c>
      <c r="L53" s="7">
        <v>2203</v>
      </c>
      <c r="M53" s="4">
        <v>749</v>
      </c>
      <c r="N53" s="4">
        <f>VLOOKUP(Table7[[#This Row],[Model]],[1]!Table2[[Model]:[Mar-25]],2,FALSE)</f>
        <v>3780</v>
      </c>
      <c r="O53" s="4">
        <f>VLOOKUP(B53,'[1]CAR DATA SALES 2025'!$B$2:$E$94,3,FALSE)</f>
        <v>2394</v>
      </c>
      <c r="P53" s="4">
        <f>VLOOKUP(B53,'[1]CAR DATA SALES 2025'!$B$2:$E$94,4,FALSE)</f>
        <v>1900</v>
      </c>
      <c r="Q53" s="4">
        <f t="shared" si="3"/>
        <v>30226</v>
      </c>
      <c r="R53" s="4" t="s">
        <v>50</v>
      </c>
      <c r="S53" s="4" t="str">
        <f>VLOOKUP(B53,[1]WORKING!$B$2:$D$95,2,FALSE)</f>
        <v>PETROL</v>
      </c>
      <c r="T53" s="4" t="str">
        <f>VLOOKUP(B53,[1]WORKING!$B$2:$D$95,3,FALSE)</f>
        <v>ICE</v>
      </c>
      <c r="U53" s="4" t="s">
        <v>33</v>
      </c>
      <c r="V53" s="5" t="str">
        <f t="shared" si="0"/>
        <v>-20.6%</v>
      </c>
      <c r="W53" s="5" t="str">
        <f t="shared" si="1"/>
        <v>-31.9%</v>
      </c>
      <c r="X53" s="6" t="str">
        <f>VLOOKUP(Table7[[#This Row],[Model]],[1]!Table1[[Model]:[YoY %]],19,FALSE)</f>
        <v>Base Effect</v>
      </c>
      <c r="Y53" s="6" t="str">
        <f>VLOOKUP(Table7[[#This Row],[Model]],[1]!Table1[[Model]:[YoY %]],20,FALSE)</f>
        <v>1.0%</v>
      </c>
    </row>
    <row r="54" spans="1:25" x14ac:dyDescent="0.3">
      <c r="A54" s="4" t="s">
        <v>91</v>
      </c>
      <c r="B54" s="4" t="s">
        <v>106</v>
      </c>
      <c r="C54" s="9" t="s">
        <v>107</v>
      </c>
      <c r="D54" s="4">
        <f>VLOOKUP(Table7[[#This Row],[Model]],'[1]MAIN(CAR DATA SALES 2024'!$B$2:$E$88,4,FALSE)</f>
        <v>348</v>
      </c>
      <c r="E54" s="4">
        <v>193</v>
      </c>
      <c r="F54" s="4">
        <v>193</v>
      </c>
      <c r="G54" s="4">
        <v>128</v>
      </c>
      <c r="H54" s="4">
        <v>251</v>
      </c>
      <c r="I54" s="4">
        <v>174</v>
      </c>
      <c r="J54" s="4">
        <v>312</v>
      </c>
      <c r="K54" s="4">
        <v>296</v>
      </c>
      <c r="L54" s="4">
        <v>434</v>
      </c>
      <c r="M54" s="4">
        <v>825</v>
      </c>
      <c r="N54" s="4">
        <f>VLOOKUP(Table7[[#This Row],[Model]],[1]!Table2[[Model]:[Mar-25]],2,FALSE)</f>
        <v>556</v>
      </c>
      <c r="O54" s="4">
        <f>VLOOKUP(B54,'[1]CAR DATA SALES 2025'!$B$2:$E$94,3,FALSE)</f>
        <v>380</v>
      </c>
      <c r="P54" s="4">
        <f>VLOOKUP(B54,'[1]CAR DATA SALES 2025'!$B$2:$E$94,4,FALSE)</f>
        <v>294</v>
      </c>
      <c r="Q54" s="4">
        <f t="shared" si="3"/>
        <v>4384</v>
      </c>
      <c r="R54" s="4" t="s">
        <v>61</v>
      </c>
      <c r="S54" s="4" t="str">
        <f>VLOOKUP(B54,[1]WORKING!$B$2:$D$95,2,FALSE)</f>
        <v>PETROL/HYBRID</v>
      </c>
      <c r="T54" s="4" t="str">
        <f>VLOOKUP(B54,[1]WORKING!$B$2:$D$95,3,FALSE)</f>
        <v>ICE</v>
      </c>
      <c r="U54" s="4" t="s">
        <v>46</v>
      </c>
      <c r="V54" s="5" t="str">
        <f t="shared" si="0"/>
        <v>-22.6%</v>
      </c>
      <c r="W54" s="5" t="str">
        <f t="shared" si="1"/>
        <v>-15.5%</v>
      </c>
      <c r="X54" s="6" t="str">
        <f>VLOOKUP(Table7[[#This Row],[Model]],[1]!Table1[[Model]:[YoY %]],19,FALSE)</f>
        <v>-4.9%</v>
      </c>
      <c r="Y54" s="6" t="str">
        <f>VLOOKUP(Table7[[#This Row],[Model]],[1]!Table1[[Model]:[YoY %]],20,FALSE)</f>
        <v>N/A</v>
      </c>
    </row>
    <row r="55" spans="1:25" x14ac:dyDescent="0.3">
      <c r="A55" s="4" t="s">
        <v>91</v>
      </c>
      <c r="B55" s="4" t="s">
        <v>108</v>
      </c>
      <c r="C55" s="9" t="s">
        <v>109</v>
      </c>
      <c r="D55" s="4">
        <f>VLOOKUP(Table7[[#This Row],[Model]],'[1]MAIN(CAR DATA SALES 2024'!$B$2:$E$88,4,FALSE)</f>
        <v>318</v>
      </c>
      <c r="E55" s="4">
        <v>257</v>
      </c>
      <c r="F55" s="4">
        <v>274</v>
      </c>
      <c r="G55" s="4">
        <v>481</v>
      </c>
      <c r="H55" s="7">
        <v>2429</v>
      </c>
      <c r="I55" s="4">
        <v>592</v>
      </c>
      <c r="J55" s="4">
        <v>599</v>
      </c>
      <c r="K55" s="7">
        <v>1211</v>
      </c>
      <c r="L55" s="4">
        <v>988</v>
      </c>
      <c r="M55" s="7">
        <v>1100</v>
      </c>
      <c r="N55" s="4">
        <f>VLOOKUP(Table7[[#This Row],[Model]],[1]!Table2[[Model]:[Mar-25]],2,FALSE)</f>
        <v>163</v>
      </c>
      <c r="O55" s="4">
        <f>VLOOKUP(B55,'[1]CAR DATA SALES 2025'!$B$2:$E$94,3,FALSE)</f>
        <v>385</v>
      </c>
      <c r="P55" s="4">
        <f>VLOOKUP(B55,'[1]CAR DATA SALES 2025'!$B$2:$E$94,4,FALSE)</f>
        <v>261</v>
      </c>
      <c r="Q55" s="4">
        <f t="shared" si="3"/>
        <v>9058</v>
      </c>
      <c r="R55" s="4" t="s">
        <v>69</v>
      </c>
      <c r="S55" s="4" t="str">
        <f>VLOOKUP(B55,[1]WORKING!$B$2:$D$95,2,FALSE)</f>
        <v>PETROL</v>
      </c>
      <c r="T55" s="4" t="str">
        <f>VLOOKUP(B55,[1]WORKING!$B$2:$D$95,3,FALSE)</f>
        <v>ICE</v>
      </c>
      <c r="U55" s="4" t="s">
        <v>30</v>
      </c>
      <c r="V55" s="5" t="str">
        <f t="shared" si="0"/>
        <v>-32.2%</v>
      </c>
      <c r="W55" s="5" t="str">
        <f t="shared" si="1"/>
        <v>-17.9%</v>
      </c>
      <c r="X55" s="6" t="str">
        <f>VLOOKUP(Table7[[#This Row],[Model]],[1]!Table1[[Model]:[YoY %]],19,FALSE)</f>
        <v>-1.2%</v>
      </c>
      <c r="Y55" s="6" t="str">
        <f>VLOOKUP(Table7[[#This Row],[Model]],[1]!Table1[[Model]:[YoY %]],20,FALSE)</f>
        <v>N/A</v>
      </c>
    </row>
    <row r="56" spans="1:25" x14ac:dyDescent="0.3">
      <c r="A56" s="4" t="s">
        <v>91</v>
      </c>
      <c r="B56" s="4" t="s">
        <v>110</v>
      </c>
      <c r="C56" s="4"/>
      <c r="D56" s="4">
        <f>VLOOKUP(Table7[[#This Row],[Model]],'[1]MAIN(CAR DATA SALES 2024'!$B$2:$E$88,4,FALSE)</f>
        <v>2497</v>
      </c>
      <c r="E56" s="7">
        <v>2476</v>
      </c>
      <c r="F56" s="7">
        <v>2227</v>
      </c>
      <c r="G56" s="7">
        <v>1620</v>
      </c>
      <c r="H56" s="7">
        <v>2607</v>
      </c>
      <c r="I56" s="7">
        <v>2102</v>
      </c>
      <c r="J56" s="7">
        <v>1708</v>
      </c>
      <c r="K56" s="7">
        <v>2139</v>
      </c>
      <c r="L56" s="7">
        <v>2283</v>
      </c>
      <c r="M56" s="4">
        <v>8</v>
      </c>
      <c r="N56" s="4">
        <f>VLOOKUP(Table7[[#This Row],[Model]],[1]!Table2[[Model]:[Mar-25]],2,FALSE)</f>
        <v>2895</v>
      </c>
      <c r="O56" s="4">
        <f>VLOOKUP(B56,'[1]CAR DATA SALES 2025'!$B$2:$E$94,3,FALSE)</f>
        <v>1685</v>
      </c>
      <c r="P56" s="4">
        <f>VLOOKUP(B56,'[1]CAR DATA SALES 2025'!$B$2:$E$94,4,FALSE)</f>
        <v>1788</v>
      </c>
      <c r="Q56" s="4">
        <f t="shared" si="3"/>
        <v>26035</v>
      </c>
      <c r="R56" s="4" t="s">
        <v>93</v>
      </c>
      <c r="S56" s="4" t="str">
        <f>VLOOKUP(B56,[1]WORKING!$B$2:$D$95,2,FALSE)</f>
        <v>PETROL</v>
      </c>
      <c r="T56" s="4" t="str">
        <f>VLOOKUP(B56,[1]WORKING!$B$2:$D$95,3,FALSE)</f>
        <v>ICE</v>
      </c>
      <c r="U56" s="4" t="s">
        <v>33</v>
      </c>
      <c r="V56" s="5" t="str">
        <f t="shared" si="0"/>
        <v>6.1%</v>
      </c>
      <c r="W56" s="5" t="str">
        <f t="shared" si="1"/>
        <v>-28.4%</v>
      </c>
      <c r="X56" s="6" t="str">
        <f>VLOOKUP(Table7[[#This Row],[Model]],[1]!Table1[[Model]:[YoY %]],19,FALSE)</f>
        <v>-18.4%</v>
      </c>
      <c r="Y56" s="6" t="str">
        <f>VLOOKUP(Table7[[#This Row],[Model]],[1]!Table1[[Model]:[YoY %]],20,FALSE)</f>
        <v>2.2%</v>
      </c>
    </row>
    <row r="57" spans="1:25" x14ac:dyDescent="0.3">
      <c r="A57" s="4" t="s">
        <v>91</v>
      </c>
      <c r="B57" s="4" t="s">
        <v>111</v>
      </c>
      <c r="C57" s="4"/>
      <c r="D57" s="4">
        <f>VLOOKUP(Table7[[#This Row],[Model]],'[1]MAIN(CAR DATA SALES 2024'!$B$2:$E$88,4,FALSE)</f>
        <v>15728</v>
      </c>
      <c r="E57" s="7">
        <v>4094</v>
      </c>
      <c r="F57" s="7">
        <v>19393</v>
      </c>
      <c r="G57" s="7">
        <v>16422</v>
      </c>
      <c r="H57" s="7">
        <v>16854</v>
      </c>
      <c r="I57" s="7">
        <v>12844</v>
      </c>
      <c r="J57" s="7">
        <v>16241</v>
      </c>
      <c r="K57" s="7">
        <v>17539</v>
      </c>
      <c r="L57" s="7">
        <v>14737</v>
      </c>
      <c r="M57" s="7">
        <v>10421</v>
      </c>
      <c r="N57" s="4">
        <f>VLOOKUP(Table7[[#This Row],[Model]],[1]!Table2[[Model]:[Mar-25]],2,FALSE)</f>
        <v>17081</v>
      </c>
      <c r="O57" s="4">
        <f>VLOOKUP(B57,'[1]CAR DATA SALES 2025'!$B$2:$E$94,3,FALSE)</f>
        <v>16269</v>
      </c>
      <c r="P57" s="4">
        <f>VLOOKUP(B57,'[1]CAR DATA SALES 2025'!$B$2:$E$94,4,FALSE)</f>
        <v>17746</v>
      </c>
      <c r="Q57" s="4">
        <f t="shared" si="3"/>
        <v>195369</v>
      </c>
      <c r="R57" s="4" t="s">
        <v>50</v>
      </c>
      <c r="S57" s="4" t="str">
        <f>VLOOKUP(B57,[1]WORKING!$B$2:$D$95,2,FALSE)</f>
        <v>PETROL/CNG</v>
      </c>
      <c r="T57" s="4" t="str">
        <f>VLOOKUP(B57,[1]WORKING!$B$2:$D$95,3,FALSE)</f>
        <v>ICE</v>
      </c>
      <c r="U57" s="4" t="s">
        <v>33</v>
      </c>
      <c r="V57" s="5" t="str">
        <f t="shared" si="0"/>
        <v>9.1%</v>
      </c>
      <c r="W57" s="5" t="str">
        <f t="shared" si="1"/>
        <v>12.8%</v>
      </c>
      <c r="X57" s="6" t="str">
        <f>VLOOKUP(Table7[[#This Row],[Model]],[1]!Table1[[Model]:[YoY %]],19,FALSE)</f>
        <v>19.5%</v>
      </c>
      <c r="Y57" s="6" t="str">
        <f>VLOOKUP(Table7[[#This Row],[Model]],[1]!Table1[[Model]:[YoY %]],20,FALSE)</f>
        <v>-11.6%</v>
      </c>
    </row>
    <row r="58" spans="1:25" x14ac:dyDescent="0.3">
      <c r="A58" s="4" t="s">
        <v>91</v>
      </c>
      <c r="B58" s="4" t="s">
        <v>112</v>
      </c>
      <c r="C58" s="4"/>
      <c r="D58" s="4">
        <f>VLOOKUP(Table7[[#This Row],[Model]],'[1]MAIN(CAR DATA SALES 2024'!$B$2:$E$88,4,FALSE)</f>
        <v>16368</v>
      </c>
      <c r="E58" s="7">
        <v>17850</v>
      </c>
      <c r="F58" s="7">
        <v>14492</v>
      </c>
      <c r="G58" s="7">
        <v>13790</v>
      </c>
      <c r="H58" s="7">
        <v>16191</v>
      </c>
      <c r="I58" s="7">
        <v>16450</v>
      </c>
      <c r="J58" s="7">
        <v>13339</v>
      </c>
      <c r="K58" s="7">
        <v>13922</v>
      </c>
      <c r="L58" s="7">
        <v>13982</v>
      </c>
      <c r="M58" s="7">
        <v>17303</v>
      </c>
      <c r="N58" s="4">
        <f>VLOOKUP(Table7[[#This Row],[Model]],[1]!Table2[[Model]:[Mar-25]],2,FALSE)</f>
        <v>24078</v>
      </c>
      <c r="O58" s="4">
        <f>VLOOKUP(B58,'[1]CAR DATA SALES 2025'!$B$2:$E$94,3,FALSE)</f>
        <v>19879</v>
      </c>
      <c r="P58" s="4">
        <f>VLOOKUP(B58,'[1]CAR DATA SALES 2025'!$B$2:$E$94,4,FALSE)</f>
        <v>17175</v>
      </c>
      <c r="Q58" s="4">
        <f t="shared" si="3"/>
        <v>214819</v>
      </c>
      <c r="R58" s="4" t="s">
        <v>97</v>
      </c>
      <c r="S58" s="4" t="str">
        <f>VLOOKUP(B58,[1]WORKING!$B$2:$D$95,2,FALSE)</f>
        <v>PETROL/CNG</v>
      </c>
      <c r="T58" s="4" t="str">
        <f>VLOOKUP(B58,[1]WORKING!$B$2:$D$95,3,FALSE)</f>
        <v>ICE</v>
      </c>
      <c r="U58" s="4" t="s">
        <v>33</v>
      </c>
      <c r="V58" s="5" t="str">
        <f t="shared" si="0"/>
        <v>-13.6%</v>
      </c>
      <c r="W58" s="5" t="str">
        <f t="shared" si="1"/>
        <v>4.9%</v>
      </c>
      <c r="X58" s="6" t="str">
        <f>VLOOKUP(Table7[[#This Row],[Model]],[1]!Table1[[Model]:[YoY %]],19,FALSE)</f>
        <v>-15.7%</v>
      </c>
      <c r="Y58" s="6" t="str">
        <f>VLOOKUP(Table7[[#This Row],[Model]],[1]!Table1[[Model]:[YoY %]],20,FALSE)</f>
        <v>-5.7%</v>
      </c>
    </row>
    <row r="59" spans="1:25" x14ac:dyDescent="0.3">
      <c r="A59" s="4" t="s">
        <v>91</v>
      </c>
      <c r="B59" s="4" t="s">
        <v>113</v>
      </c>
      <c r="C59" s="4"/>
      <c r="D59" s="4">
        <f>VLOOKUP(Table7[[#This Row],[Model]],'[1]MAIN(CAR DATA SALES 2024'!$B$2:$E$88,4,FALSE)</f>
        <v>4505</v>
      </c>
      <c r="E59" s="7">
        <v>3509</v>
      </c>
      <c r="F59" s="7">
        <v>3241</v>
      </c>
      <c r="G59" s="7">
        <v>3323</v>
      </c>
      <c r="H59" s="7">
        <v>2923</v>
      </c>
      <c r="I59" s="7">
        <v>2740</v>
      </c>
      <c r="J59" s="7">
        <v>3734</v>
      </c>
      <c r="K59" s="7">
        <v>3285</v>
      </c>
      <c r="L59" s="7">
        <v>2483</v>
      </c>
      <c r="M59" s="7">
        <v>2487</v>
      </c>
      <c r="N59" s="4">
        <f>VLOOKUP(Table7[[#This Row],[Model]],[1]!Table2[[Model]:[Mar-25]],2,FALSE)</f>
        <v>4403</v>
      </c>
      <c r="O59" s="4">
        <f>VLOOKUP(B59,'[1]CAR DATA SALES 2025'!$B$2:$E$94,3,FALSE)</f>
        <v>1878</v>
      </c>
      <c r="P59" s="4">
        <f>VLOOKUP(B59,'[1]CAR DATA SALES 2025'!$B$2:$E$94,4,FALSE)</f>
        <v>3105</v>
      </c>
      <c r="Q59" s="4">
        <f t="shared" si="3"/>
        <v>41616</v>
      </c>
      <c r="R59" s="4" t="s">
        <v>69</v>
      </c>
      <c r="S59" s="4" t="str">
        <f>VLOOKUP(B59,[1]WORKING!$B$2:$D$95,2,FALSE)</f>
        <v>PETROL</v>
      </c>
      <c r="T59" s="4" t="str">
        <f>VLOOKUP(B59,[1]WORKING!$B$2:$D$95,3,FALSE)</f>
        <v>ICE</v>
      </c>
      <c r="U59" s="4" t="s">
        <v>46</v>
      </c>
      <c r="V59" s="5" t="str">
        <f t="shared" si="0"/>
        <v>65.3%</v>
      </c>
      <c r="W59" s="5" t="str">
        <f t="shared" si="1"/>
        <v>-31.1%</v>
      </c>
      <c r="X59" s="6" t="str">
        <f>VLOOKUP(Table7[[#This Row],[Model]],[1]!Table1[[Model]:[YoY %]],19,FALSE)</f>
        <v>10.1%</v>
      </c>
      <c r="Y59" s="6" t="str">
        <f>VLOOKUP(Table7[[#This Row],[Model]],[1]!Table1[[Model]:[YoY %]],20,FALSE)</f>
        <v>61.1%</v>
      </c>
    </row>
    <row r="60" spans="1:25" x14ac:dyDescent="0.3">
      <c r="A60" s="4" t="s">
        <v>114</v>
      </c>
      <c r="B60" s="4" t="s">
        <v>115</v>
      </c>
      <c r="C60" s="4"/>
      <c r="D60" s="4">
        <f>VLOOKUP(Table7[[#This Row],[Model]],'[1]MAIN(CAR DATA SALES 2024'!$B$2:$E$88,4,FALSE)</f>
        <v>1274</v>
      </c>
      <c r="E60" s="7">
        <v>1019</v>
      </c>
      <c r="F60" s="4">
        <v>991</v>
      </c>
      <c r="G60" s="4">
        <v>938</v>
      </c>
      <c r="H60" s="4">
        <v>929</v>
      </c>
      <c r="I60" s="4">
        <v>937</v>
      </c>
      <c r="J60" s="4">
        <v>760</v>
      </c>
      <c r="K60" s="4">
        <v>767</v>
      </c>
      <c r="L60" s="4">
        <v>548</v>
      </c>
      <c r="M60" s="4">
        <v>700</v>
      </c>
      <c r="N60" s="4">
        <f>VLOOKUP(Table7[[#This Row],[Model]],[1]!Table2[[Model]:[Mar-25]],2,FALSE)</f>
        <v>190</v>
      </c>
      <c r="O60" s="4">
        <f>VLOOKUP(B60,'[1]CAR DATA SALES 2025'!$B$2:$E$94,3,FALSE)</f>
        <v>264</v>
      </c>
      <c r="P60" s="4">
        <f>VLOOKUP(B60,'[1]CAR DATA SALES 2025'!$B$2:$E$94,4,FALSE)</f>
        <v>184</v>
      </c>
      <c r="Q60" s="4">
        <f t="shared" si="2"/>
        <v>8227</v>
      </c>
      <c r="R60" s="4" t="s">
        <v>29</v>
      </c>
      <c r="S60" s="4" t="str">
        <f>VLOOKUP(B60,[1]WORKING!$B$2:$D$95,2,FALSE)</f>
        <v>PETROL</v>
      </c>
      <c r="T60" s="4" t="str">
        <f>VLOOKUP(B60,[1]WORKING!$B$2:$D$95,3,FALSE)</f>
        <v>ICE</v>
      </c>
      <c r="U60" s="4" t="s">
        <v>30</v>
      </c>
      <c r="V60" s="5" t="str">
        <f t="shared" si="0"/>
        <v>-30.3%</v>
      </c>
      <c r="W60" s="5" t="str">
        <f t="shared" si="1"/>
        <v>-85.6%</v>
      </c>
      <c r="X60" s="6" t="str">
        <f>VLOOKUP(Table7[[#This Row],[Model]],[1]!Table1[[Model]:[YoY %]],19,FALSE)</f>
        <v>23.0%</v>
      </c>
      <c r="Y60" s="6" t="str">
        <f>VLOOKUP(Table7[[#This Row],[Model]],[1]!Table1[[Model]:[YoY %]],20,FALSE)</f>
        <v>9.7%</v>
      </c>
    </row>
    <row r="61" spans="1:25" x14ac:dyDescent="0.3">
      <c r="A61" s="4" t="s">
        <v>114</v>
      </c>
      <c r="B61" s="4" t="s">
        <v>116</v>
      </c>
      <c r="C61" s="4"/>
      <c r="D61" s="4">
        <f>VLOOKUP(Table7[[#This Row],[Model]],'[1]MAIN(CAR DATA SALES 2024'!$B$2:$E$88,4,FALSE)</f>
        <v>875</v>
      </c>
      <c r="E61" s="4">
        <v>993</v>
      </c>
      <c r="F61" s="7">
        <v>1200</v>
      </c>
      <c r="G61" s="7">
        <v>1300</v>
      </c>
      <c r="H61" s="7">
        <v>1200</v>
      </c>
      <c r="I61" s="7">
        <v>1100</v>
      </c>
      <c r="J61" s="7">
        <v>1268</v>
      </c>
      <c r="K61" s="7">
        <v>1151</v>
      </c>
      <c r="L61" s="4">
        <v>600</v>
      </c>
      <c r="M61" s="4">
        <v>700</v>
      </c>
      <c r="N61" s="4">
        <f>VLOOKUP(Table7[[#This Row],[Model]],[1]!Table2[[Model]:[Mar-25]],2,FALSE)</f>
        <v>173</v>
      </c>
      <c r="O61" s="4">
        <f>VLOOKUP(B61,'[1]CAR DATA SALES 2025'!$B$2:$E$94,3,FALSE)</f>
        <v>291</v>
      </c>
      <c r="P61" s="4">
        <f>VLOOKUP(B61,'[1]CAR DATA SALES 2025'!$B$2:$E$94,4,FALSE)</f>
        <v>173</v>
      </c>
      <c r="Q61" s="4">
        <f t="shared" si="2"/>
        <v>10149</v>
      </c>
      <c r="R61" s="4" t="s">
        <v>97</v>
      </c>
      <c r="S61" s="4" t="str">
        <f>VLOOKUP(B61,[1]WORKING!$B$2:$D$95,2,FALSE)</f>
        <v>ELECTRIC</v>
      </c>
      <c r="T61" s="4" t="str">
        <f>VLOOKUP(B61,[1]WORKING!$B$2:$D$95,3,FALSE)</f>
        <v>EV</v>
      </c>
      <c r="U61" s="4" t="s">
        <v>33</v>
      </c>
      <c r="V61" s="5" t="str">
        <f t="shared" si="0"/>
        <v>-40.5%</v>
      </c>
      <c r="W61" s="5" t="str">
        <f t="shared" si="1"/>
        <v>-80.2%</v>
      </c>
      <c r="X61" s="6" t="str">
        <f>VLOOKUP(Table7[[#This Row],[Model]],[1]!Table1[[Model]:[YoY %]],19,FALSE)</f>
        <v>-4.9%</v>
      </c>
      <c r="Y61" s="6" t="str">
        <f>VLOOKUP(Table7[[#This Row],[Model]],[1]!Table1[[Model]:[YoY %]],20,FALSE)</f>
        <v>N/A</v>
      </c>
    </row>
    <row r="62" spans="1:25" x14ac:dyDescent="0.3">
      <c r="A62" s="4" t="s">
        <v>114</v>
      </c>
      <c r="B62" s="4" t="s">
        <v>117</v>
      </c>
      <c r="C62" s="4"/>
      <c r="D62" s="4">
        <f>VLOOKUP(Table7[[#This Row],[Model]],'[1]MAIN(CAR DATA SALES 2024'!$B$2:$E$88,4,FALSE)</f>
        <v>131</v>
      </c>
      <c r="E62" s="4">
        <v>124</v>
      </c>
      <c r="F62" s="4">
        <v>135</v>
      </c>
      <c r="G62" s="4">
        <v>132</v>
      </c>
      <c r="H62" s="4">
        <v>191</v>
      </c>
      <c r="I62" s="4">
        <v>236</v>
      </c>
      <c r="J62" s="4">
        <v>200</v>
      </c>
      <c r="K62" s="4">
        <v>176</v>
      </c>
      <c r="L62" s="4">
        <v>138</v>
      </c>
      <c r="M62" s="4">
        <v>100</v>
      </c>
      <c r="N62" s="4">
        <f>VLOOKUP(Table7[[#This Row],[Model]],[1]!Table2[[Model]:[Mar-25]],2,FALSE)</f>
        <v>101</v>
      </c>
      <c r="O62" s="4">
        <f>VLOOKUP(B62,'[1]CAR DATA SALES 2025'!$B$2:$E$94,3,FALSE)</f>
        <v>102</v>
      </c>
      <c r="P62" s="4">
        <f>VLOOKUP(B62,'[1]CAR DATA SALES 2025'!$B$2:$E$94,4,FALSE)</f>
        <v>100</v>
      </c>
      <c r="Q62" s="4">
        <f t="shared" si="2"/>
        <v>1735</v>
      </c>
      <c r="R62" s="4" t="s">
        <v>36</v>
      </c>
      <c r="S62" s="4" t="str">
        <f>VLOOKUP(B62,[1]WORKING!$B$2:$D$95,2,FALSE)</f>
        <v>DIESEL</v>
      </c>
      <c r="T62" s="4" t="str">
        <f>VLOOKUP(B62,[1]WORKING!$B$2:$D$95,3,FALSE)</f>
        <v>ICE</v>
      </c>
      <c r="U62" s="4" t="s">
        <v>30</v>
      </c>
      <c r="V62" s="5" t="str">
        <f t="shared" si="0"/>
        <v>-2.0%</v>
      </c>
      <c r="W62" s="5" t="str">
        <f t="shared" si="1"/>
        <v>-23.7%</v>
      </c>
      <c r="X62" s="6" t="str">
        <f>VLOOKUP(Table7[[#This Row],[Model]],[1]!Table1[[Model]:[YoY %]],19,FALSE)</f>
        <v>-22.0%</v>
      </c>
      <c r="Y62" s="6" t="str">
        <f>VLOOKUP(Table7[[#This Row],[Model]],[1]!Table1[[Model]:[YoY %]],20,FALSE)</f>
        <v>-88.5%</v>
      </c>
    </row>
    <row r="63" spans="1:25" x14ac:dyDescent="0.3">
      <c r="A63" s="4" t="s">
        <v>114</v>
      </c>
      <c r="B63" s="4" t="s">
        <v>118</v>
      </c>
      <c r="C63" s="4"/>
      <c r="D63" s="4">
        <f>VLOOKUP(Table7[[#This Row],[Model]],'[1]MAIN(CAR DATA SALES 2024'!$B$2:$E$88,4,FALSE)</f>
        <v>1887</v>
      </c>
      <c r="E63" s="7">
        <v>1813</v>
      </c>
      <c r="F63" s="7">
        <v>1906</v>
      </c>
      <c r="G63" s="7">
        <v>1713</v>
      </c>
      <c r="H63" s="7">
        <v>1780</v>
      </c>
      <c r="I63" s="7">
        <v>1814</v>
      </c>
      <c r="J63" s="7">
        <v>1380</v>
      </c>
      <c r="K63" s="7">
        <v>1224</v>
      </c>
      <c r="L63" s="7">
        <v>1106</v>
      </c>
      <c r="M63" s="7">
        <v>1373</v>
      </c>
      <c r="N63" s="4">
        <f>VLOOKUP(Table7[[#This Row],[Model]],[1]!Table2[[Model]:[Mar-25]],2,FALSE)</f>
        <v>449</v>
      </c>
      <c r="O63" s="4">
        <f>VLOOKUP(B63,'[1]CAR DATA SALES 2025'!$B$2:$E$94,3,FALSE)</f>
        <v>515</v>
      </c>
      <c r="P63" s="4">
        <f>VLOOKUP(B63,'[1]CAR DATA SALES 2025'!$B$2:$E$94,4,FALSE)</f>
        <v>547</v>
      </c>
      <c r="Q63" s="4">
        <f t="shared" si="2"/>
        <v>15620</v>
      </c>
      <c r="R63" s="4" t="s">
        <v>61</v>
      </c>
      <c r="S63" s="4" t="str">
        <f>VLOOKUP(B63,[1]WORKING!$B$2:$D$95,2,FALSE)</f>
        <v>PETROL/DIESEL</v>
      </c>
      <c r="T63" s="4" t="str">
        <f>VLOOKUP(B63,[1]WORKING!$B$2:$D$95,3,FALSE)</f>
        <v>ICE</v>
      </c>
      <c r="U63" s="4" t="s">
        <v>30</v>
      </c>
      <c r="V63" s="5" t="str">
        <f t="shared" si="0"/>
        <v>6.2%</v>
      </c>
      <c r="W63" s="5" t="str">
        <f t="shared" si="1"/>
        <v>-71.0%</v>
      </c>
      <c r="X63" s="6" t="str">
        <f>VLOOKUP(Table7[[#This Row],[Model]],[1]!Table1[[Model]:[YoY %]],19,FALSE)</f>
        <v>3.3%</v>
      </c>
      <c r="Y63" s="6" t="str">
        <f>VLOOKUP(Table7[[#This Row],[Model]],[1]!Table1[[Model]:[YoY %]],20,FALSE)</f>
        <v>-117.5%</v>
      </c>
    </row>
    <row r="64" spans="1:25" x14ac:dyDescent="0.3">
      <c r="A64" s="4" t="s">
        <v>114</v>
      </c>
      <c r="B64" s="4" t="s">
        <v>119</v>
      </c>
      <c r="C64" s="4" t="s">
        <v>120</v>
      </c>
      <c r="D64" s="4"/>
      <c r="E64" s="4"/>
      <c r="F64" s="4"/>
      <c r="G64" s="4"/>
      <c r="H64" s="4"/>
      <c r="I64" s="4"/>
      <c r="J64" s="4">
        <v>0</v>
      </c>
      <c r="K64" s="7">
        <v>3116</v>
      </c>
      <c r="L64" s="7">
        <v>3144</v>
      </c>
      <c r="M64" s="7">
        <v>3785</v>
      </c>
      <c r="N64" s="4">
        <f>VLOOKUP(Table7[[#This Row],[Model]],[1]!Table2[[Model]:[Mar-25]],2,FALSE)</f>
        <v>3277</v>
      </c>
      <c r="O64" s="4">
        <f>VLOOKUP(B64,'[1]CAR DATA SALES 2025'!$B$2:$E$94,3,FALSE)</f>
        <v>2431</v>
      </c>
      <c r="P64" s="4">
        <f>VLOOKUP(B64,'[1]CAR DATA SALES 2025'!$B$2:$E$94,4,FALSE)</f>
        <v>3641</v>
      </c>
      <c r="Q64" s="4">
        <f t="shared" si="2"/>
        <v>19394</v>
      </c>
      <c r="R64" s="4" t="s">
        <v>29</v>
      </c>
      <c r="S64" s="4" t="str">
        <f>VLOOKUP(B64,[1]WORKING!$B$2:$D$95,2,FALSE)</f>
        <v>ELECTRIC</v>
      </c>
      <c r="T64" s="4" t="str">
        <f>VLOOKUP(B64,[1]WORKING!$B$2:$D$95,3,FALSE)</f>
        <v>EV</v>
      </c>
      <c r="U64" s="4" t="s">
        <v>46</v>
      </c>
      <c r="V64" s="5" t="str">
        <f t="shared" si="0"/>
        <v>49.8%</v>
      </c>
      <c r="W64" s="5" t="str">
        <f t="shared" si="1"/>
        <v>N/A</v>
      </c>
      <c r="X64" s="6" t="str">
        <f>VLOOKUP(Table7[[#This Row],[Model]],[1]!Table1[[Model]:[YoY %]],19,FALSE)</f>
        <v>N/A</v>
      </c>
      <c r="Y64" s="6" t="str">
        <f>VLOOKUP(Table7[[#This Row],[Model]],[1]!Table1[[Model]:[YoY %]],20,FALSE)</f>
        <v>N/A</v>
      </c>
    </row>
    <row r="65" spans="1:25" x14ac:dyDescent="0.3">
      <c r="A65" s="4" t="s">
        <v>114</v>
      </c>
      <c r="B65" s="4" t="s">
        <v>121</v>
      </c>
      <c r="C65" s="4"/>
      <c r="D65" s="4">
        <f>VLOOKUP(Table7[[#This Row],[Model]],'[1]MAIN(CAR DATA SALES 2024'!$B$2:$E$88,4,FALSE)</f>
        <v>481</v>
      </c>
      <c r="E65" s="4">
        <v>536</v>
      </c>
      <c r="F65" s="4">
        <v>537</v>
      </c>
      <c r="G65" s="4">
        <v>561</v>
      </c>
      <c r="H65" s="4">
        <v>472</v>
      </c>
      <c r="I65" s="4">
        <v>484</v>
      </c>
      <c r="J65" s="4">
        <v>980</v>
      </c>
      <c r="K65" s="4">
        <v>611</v>
      </c>
      <c r="L65" s="4">
        <v>483</v>
      </c>
      <c r="M65" s="4">
        <v>858</v>
      </c>
      <c r="N65" s="4">
        <f>VLOOKUP(Table7[[#This Row],[Model]],[1]!Table2[[Model]:[Mar-25]],2,FALSE)</f>
        <v>265</v>
      </c>
      <c r="O65" s="4">
        <f>VLOOKUP(B65,'[1]CAR DATA SALES 2025'!$B$2:$E$94,3,FALSE)</f>
        <v>399</v>
      </c>
      <c r="P65" s="4">
        <f>VLOOKUP(B65,'[1]CAR DATA SALES 2025'!$B$2:$E$94,4,FALSE)</f>
        <v>856</v>
      </c>
      <c r="Q65" s="4">
        <f t="shared" si="2"/>
        <v>7042</v>
      </c>
      <c r="R65" s="4" t="s">
        <v>53</v>
      </c>
      <c r="S65" s="4" t="str">
        <f>VLOOKUP(B65,[1]WORKING!$B$2:$D$95,2,FALSE)</f>
        <v>ELECTRIC</v>
      </c>
      <c r="T65" s="4" t="str">
        <f>VLOOKUP(B65,[1]WORKING!$B$2:$D$95,3,FALSE)</f>
        <v>EV</v>
      </c>
      <c r="U65" s="4" t="s">
        <v>30</v>
      </c>
      <c r="V65" s="5" t="str">
        <f t="shared" si="0"/>
        <v>114.5%</v>
      </c>
      <c r="W65" s="5" t="str">
        <f t="shared" si="1"/>
        <v>78.0%</v>
      </c>
      <c r="X65" s="6" t="str">
        <f>VLOOKUP(Table7[[#This Row],[Model]],[1]!Table1[[Model]:[YoY %]],19,FALSE)</f>
        <v>-17.4%</v>
      </c>
      <c r="Y65" s="6" t="str">
        <f>VLOOKUP(Table7[[#This Row],[Model]],[1]!Table1[[Model]:[YoY %]],20,FALSE)</f>
        <v>-13.9%</v>
      </c>
    </row>
    <row r="66" spans="1:25" x14ac:dyDescent="0.3">
      <c r="A66" s="4" t="s">
        <v>122</v>
      </c>
      <c r="B66" s="4" t="s">
        <v>123</v>
      </c>
      <c r="C66" s="4"/>
      <c r="D66" s="4">
        <f>VLOOKUP(Table7[[#This Row],[Model]],'[1]MAIN(CAR DATA SALES 2024'!$B$2:$E$88,4,FALSE)</f>
        <v>2701</v>
      </c>
      <c r="E66" s="7">
        <v>2404</v>
      </c>
      <c r="F66" s="7">
        <v>2211</v>
      </c>
      <c r="G66" s="7">
        <v>2107</v>
      </c>
      <c r="H66" s="7">
        <v>2011</v>
      </c>
      <c r="I66" s="7">
        <v>2257</v>
      </c>
      <c r="J66" s="7">
        <v>2100</v>
      </c>
      <c r="K66" s="7">
        <v>3119</v>
      </c>
      <c r="L66" s="7">
        <v>2342</v>
      </c>
      <c r="M66" s="7">
        <v>2117</v>
      </c>
      <c r="N66" s="4">
        <f>VLOOKUP(Table7[[#This Row],[Model]],[1]!Table2[[Model]:[Mar-25]],2,FALSE)</f>
        <v>2404</v>
      </c>
      <c r="O66" s="4">
        <f>VLOOKUP(B66,'[1]CAR DATA SALES 2025'!$B$2:$E$94,3,FALSE)</f>
        <v>2328</v>
      </c>
      <c r="P66" s="4">
        <f>VLOOKUP(B66,'[1]CAR DATA SALES 2025'!$B$2:$E$94,4,FALSE)</f>
        <v>8484</v>
      </c>
      <c r="Q66" s="4">
        <f t="shared" si="2"/>
        <v>33884</v>
      </c>
      <c r="R66" s="4" t="s">
        <v>32</v>
      </c>
      <c r="S66" s="4" t="str">
        <f>VLOOKUP(B66,[1]WORKING!$B$2:$D$95,2,FALSE)</f>
        <v>PETROL/CNG</v>
      </c>
      <c r="T66" s="4" t="str">
        <f>VLOOKUP(B66,[1]WORKING!$B$2:$D$95,3,FALSE)</f>
        <v>ICE</v>
      </c>
      <c r="U66" s="4" t="s">
        <v>30</v>
      </c>
      <c r="V66" s="5" t="str">
        <f t="shared" si="0"/>
        <v>Base Effect</v>
      </c>
      <c r="W66" s="5" t="str">
        <f t="shared" si="1"/>
        <v>Base Effect</v>
      </c>
      <c r="X66" s="6" t="str">
        <f>VLOOKUP(Table7[[#This Row],[Model]],[1]!Table1[[Model]:[YoY %]],19,FALSE)</f>
        <v>-2.0%</v>
      </c>
      <c r="Y66" s="6" t="str">
        <f>VLOOKUP(Table7[[#This Row],[Model]],[1]!Table1[[Model]:[YoY %]],20,FALSE)</f>
        <v>-20.7%</v>
      </c>
    </row>
    <row r="67" spans="1:25" x14ac:dyDescent="0.3">
      <c r="A67" s="4" t="s">
        <v>122</v>
      </c>
      <c r="B67" s="4" t="s">
        <v>124</v>
      </c>
      <c r="C67" s="4" t="s">
        <v>125</v>
      </c>
      <c r="D67" s="4"/>
      <c r="E67" s="4"/>
      <c r="F67" s="4"/>
      <c r="G67" s="4"/>
      <c r="H67" s="4"/>
      <c r="I67" s="4">
        <v>6</v>
      </c>
      <c r="J67" s="4">
        <v>13</v>
      </c>
      <c r="K67" s="4">
        <v>2</v>
      </c>
      <c r="L67" s="7">
        <v>0</v>
      </c>
      <c r="M67" s="4">
        <v>1</v>
      </c>
      <c r="N67" s="4">
        <f>VLOOKUP(Table7[[#This Row],[Model]],[1]!Table2[[Model]:[Mar-25]],2,FALSE)</f>
        <v>0</v>
      </c>
      <c r="O67" s="4">
        <f>VLOOKUP(B67,'[1]CAR DATA SALES 2025'!$B$2:$E$94,3,FALSE)</f>
        <v>0</v>
      </c>
      <c r="P67" s="4">
        <f>VLOOKUP(B67,'[1]CAR DATA SALES 2025'!$B$2:$E$94,4,FALSE)</f>
        <v>15</v>
      </c>
      <c r="Q67" s="4">
        <f t="shared" si="2"/>
        <v>37</v>
      </c>
      <c r="R67" s="4" t="s">
        <v>36</v>
      </c>
      <c r="S67" s="4" t="str">
        <f>VLOOKUP(B67,[1]WORKING!$B$2:$D$95,2,FALSE)</f>
        <v>PETROL</v>
      </c>
      <c r="T67" s="4" t="str">
        <f>VLOOKUP(B67,[1]WORKING!$B$2:$D$95,3,FALSE)</f>
        <v>ICE</v>
      </c>
      <c r="U67" s="4" t="s">
        <v>30</v>
      </c>
      <c r="V67" s="5" t="str">
        <f t="shared" ref="V67:V95" si="4">IF(
         OR(O67=0,O67=""),"N/A",
         IF(ABS((P67-O67)/O67)&gt;2,"Base Effect",TEXT((P67-O67)/O67,"0.0%"))
      )</f>
        <v>N/A</v>
      </c>
      <c r="W67" s="5" t="str">
        <f t="shared" ref="W67:W95" si="5">IF(
         OR(D67=0,D67=""),"N/A",
         IF(ABS((P67-D67)/D67)&gt;2,"Base Effect",TEXT((P67-D67)/D67,"0.0%"))
      )</f>
        <v>N/A</v>
      </c>
      <c r="X67" s="6" t="str">
        <f>VLOOKUP(Table7[[#This Row],[Model]],[1]!Table1[[Model]:[YoY %]],19,FALSE)</f>
        <v>N/A</v>
      </c>
      <c r="Y67" s="6" t="str">
        <f>VLOOKUP(Table7[[#This Row],[Model]],[1]!Table1[[Model]:[YoY %]],20,FALSE)</f>
        <v>N/A</v>
      </c>
    </row>
    <row r="68" spans="1:25" x14ac:dyDescent="0.3">
      <c r="A68" s="4" t="s">
        <v>126</v>
      </c>
      <c r="B68" s="4" t="s">
        <v>127</v>
      </c>
      <c r="C68" s="4"/>
      <c r="D68" s="4">
        <f>VLOOKUP(Table7[[#This Row],[Model]],'[1]MAIN(CAR DATA SALES 2024'!$B$2:$E$88,4,FALSE)</f>
        <v>1050</v>
      </c>
      <c r="E68" s="7">
        <v>1059</v>
      </c>
      <c r="F68" s="4">
        <v>850</v>
      </c>
      <c r="G68" s="7">
        <v>1150</v>
      </c>
      <c r="H68" s="4">
        <v>810</v>
      </c>
      <c r="I68" s="4">
        <v>870</v>
      </c>
      <c r="J68" s="4">
        <v>988</v>
      </c>
      <c r="K68" s="7">
        <v>1053</v>
      </c>
      <c r="L68" s="4">
        <v>779</v>
      </c>
      <c r="M68" s="4">
        <v>594</v>
      </c>
      <c r="N68" s="4">
        <f>VLOOKUP(Table7[[#This Row],[Model]],[1]!Table2[[Model]:[Mar-25]],2,FALSE)</f>
        <v>755</v>
      </c>
      <c r="O68" s="4">
        <f>VLOOKUP(B68,'[1]CAR DATA SALES 2025'!$B$2:$E$94,3,FALSE)</f>
        <v>433</v>
      </c>
      <c r="P68" s="4">
        <f>VLOOKUP(B68,'[1]CAR DATA SALES 2025'!$B$2:$E$94,4,FALSE)</f>
        <v>762</v>
      </c>
      <c r="Q68" s="4">
        <f t="shared" ref="Q68:Q96" si="6">SUM(E68:P68)</f>
        <v>10103</v>
      </c>
      <c r="R68" s="4" t="s">
        <v>32</v>
      </c>
      <c r="S68" s="4" t="str">
        <f>VLOOKUP(B68,[1]WORKING!$B$2:$D$95,2,FALSE)</f>
        <v>PETROL/CNG</v>
      </c>
      <c r="T68" s="4" t="str">
        <f>VLOOKUP(B68,[1]WORKING!$B$2:$D$95,3,FALSE)</f>
        <v>ICE</v>
      </c>
      <c r="U68" s="4" t="s">
        <v>30</v>
      </c>
      <c r="V68" s="5" t="str">
        <f t="shared" si="4"/>
        <v>76.0%</v>
      </c>
      <c r="W68" s="5" t="str">
        <f t="shared" si="5"/>
        <v>-27.4%</v>
      </c>
      <c r="X68" s="6" t="str">
        <f>VLOOKUP(Table7[[#This Row],[Model]],[1]!Table1[[Model]:[YoY %]],19,FALSE)</f>
        <v>0.3%</v>
      </c>
      <c r="Y68" s="6" t="str">
        <f>VLOOKUP(Table7[[#This Row],[Model]],[1]!Table1[[Model]:[YoY %]],20,FALSE)</f>
        <v>-49.3%</v>
      </c>
    </row>
    <row r="69" spans="1:25" x14ac:dyDescent="0.3">
      <c r="A69" s="4" t="s">
        <v>126</v>
      </c>
      <c r="B69" s="4" t="s">
        <v>128</v>
      </c>
      <c r="C69" s="4"/>
      <c r="D69" s="4">
        <f>VLOOKUP(Table7[[#This Row],[Model]],'[1]MAIN(CAR DATA SALES 2024'!$B$2:$E$88,4,FALSE)</f>
        <v>928</v>
      </c>
      <c r="E69" s="4">
        <v>977</v>
      </c>
      <c r="F69" s="4">
        <v>743</v>
      </c>
      <c r="G69" s="4">
        <v>603</v>
      </c>
      <c r="H69" s="4">
        <v>565</v>
      </c>
      <c r="I69" s="4">
        <v>634</v>
      </c>
      <c r="J69" s="4">
        <v>691</v>
      </c>
      <c r="K69" s="4">
        <v>706</v>
      </c>
      <c r="L69" s="4">
        <v>546</v>
      </c>
      <c r="M69" s="4">
        <v>628</v>
      </c>
      <c r="N69" s="4">
        <f>VLOOKUP(Table7[[#This Row],[Model]],[1]!Table2[[Model]:[Mar-25]],2,FALSE)</f>
        <v>569</v>
      </c>
      <c r="O69" s="4">
        <f>VLOOKUP(B69,'[1]CAR DATA SALES 2025'!$B$2:$E$94,3,FALSE)</f>
        <v>698</v>
      </c>
      <c r="P69" s="4">
        <f>VLOOKUP(B69,'[1]CAR DATA SALES 2025'!$B$2:$E$94,4,FALSE)</f>
        <v>532</v>
      </c>
      <c r="Q69" s="4">
        <f t="shared" si="6"/>
        <v>7892</v>
      </c>
      <c r="R69" s="4" t="s">
        <v>93</v>
      </c>
      <c r="S69" s="4" t="str">
        <f>VLOOKUP(B69,[1]WORKING!$B$2:$D$95,2,FALSE)</f>
        <v>PETROL</v>
      </c>
      <c r="T69" s="4" t="str">
        <f>VLOOKUP(B69,[1]WORKING!$B$2:$D$95,3,FALSE)</f>
        <v>ICE</v>
      </c>
      <c r="U69" s="4" t="s">
        <v>33</v>
      </c>
      <c r="V69" s="5" t="str">
        <f t="shared" si="4"/>
        <v>-23.8%</v>
      </c>
      <c r="W69" s="5" t="str">
        <f t="shared" si="5"/>
        <v>-42.7%</v>
      </c>
      <c r="X69" s="6" t="str">
        <f>VLOOKUP(Table7[[#This Row],[Model]],[1]!Table1[[Model]:[YoY %]],19,FALSE)</f>
        <v>12.1%</v>
      </c>
      <c r="Y69" s="6" t="str">
        <f>VLOOKUP(Table7[[#This Row],[Model]],[1]!Table1[[Model]:[YoY %]],20,FALSE)</f>
        <v>-38.3%</v>
      </c>
    </row>
    <row r="70" spans="1:25" x14ac:dyDescent="0.3">
      <c r="A70" s="4" t="s">
        <v>126</v>
      </c>
      <c r="B70" s="4" t="s">
        <v>129</v>
      </c>
      <c r="C70" s="4"/>
      <c r="D70" s="4">
        <f>VLOOKUP(Table7[[#This Row],[Model]],'[1]MAIN(CAR DATA SALES 2024'!$B$2:$E$88,4,FALSE)</f>
        <v>2247</v>
      </c>
      <c r="E70" s="7">
        <v>1671</v>
      </c>
      <c r="F70" s="7">
        <v>2116</v>
      </c>
      <c r="G70" s="7">
        <v>1800</v>
      </c>
      <c r="H70" s="7">
        <v>1457</v>
      </c>
      <c r="I70" s="7">
        <v>1514</v>
      </c>
      <c r="J70" s="7">
        <v>1538</v>
      </c>
      <c r="K70" s="7">
        <v>2111</v>
      </c>
      <c r="L70" s="7">
        <v>1486</v>
      </c>
      <c r="M70" s="7">
        <v>1659</v>
      </c>
      <c r="N70" s="4">
        <f>VLOOKUP(Table7[[#This Row],[Model]],[1]!Table2[[Model]:[Mar-25]],2,FALSE)</f>
        <v>1456</v>
      </c>
      <c r="O70" s="4">
        <f>VLOOKUP(B70,'[1]CAR DATA SALES 2025'!$B$2:$E$94,3,FALSE)</f>
        <v>1545</v>
      </c>
      <c r="P70" s="4">
        <f>VLOOKUP(B70,'[1]CAR DATA SALES 2025'!$B$2:$E$94,4,FALSE)</f>
        <v>1552</v>
      </c>
      <c r="Q70" s="4">
        <f t="shared" si="6"/>
        <v>19905</v>
      </c>
      <c r="R70" s="4" t="s">
        <v>69</v>
      </c>
      <c r="S70" s="4" t="str">
        <f>VLOOKUP(B70,[1]WORKING!$B$2:$D$95,2,FALSE)</f>
        <v>PETROL/CNG</v>
      </c>
      <c r="T70" s="4" t="str">
        <f>VLOOKUP(B70,[1]WORKING!$B$2:$D$95,3,FALSE)</f>
        <v>ICE</v>
      </c>
      <c r="U70" s="4" t="s">
        <v>46</v>
      </c>
      <c r="V70" s="5" t="str">
        <f t="shared" si="4"/>
        <v>0.5%</v>
      </c>
      <c r="W70" s="5" t="str">
        <f t="shared" si="5"/>
        <v>-30.9%</v>
      </c>
      <c r="X70" s="6" t="str">
        <f>VLOOKUP(Table7[[#This Row],[Model]],[1]!Table1[[Model]:[YoY %]],19,FALSE)</f>
        <v>1.9%</v>
      </c>
      <c r="Y70" s="6" t="str">
        <f>VLOOKUP(Table7[[#This Row],[Model]],[1]!Table1[[Model]:[YoY %]],20,FALSE)</f>
        <v>-13.0%</v>
      </c>
    </row>
    <row r="71" spans="1:25" x14ac:dyDescent="0.3">
      <c r="A71" s="4" t="s">
        <v>130</v>
      </c>
      <c r="B71" s="4" t="s">
        <v>131</v>
      </c>
      <c r="C71" s="4"/>
      <c r="D71" s="4">
        <f>VLOOKUP(Table7[[#This Row],[Model]],'[1]MAIN(CAR DATA SALES 2024'!$B$2:$E$88,4,FALSE)</f>
        <v>136</v>
      </c>
      <c r="E71" s="4">
        <v>154</v>
      </c>
      <c r="F71" s="4">
        <v>185</v>
      </c>
      <c r="G71" s="4">
        <v>137</v>
      </c>
      <c r="H71" s="4">
        <v>240</v>
      </c>
      <c r="I71" s="4">
        <v>145</v>
      </c>
      <c r="J71" s="4">
        <v>140</v>
      </c>
      <c r="K71" s="4">
        <v>209</v>
      </c>
      <c r="L71" s="4">
        <v>225</v>
      </c>
      <c r="M71" s="4">
        <v>194</v>
      </c>
      <c r="N71" s="4">
        <f>VLOOKUP(Table7[[#This Row],[Model]],[1]!Table2[[Model]:[Mar-25]],2,FALSE)</f>
        <v>10</v>
      </c>
      <c r="O71" s="4">
        <f>VLOOKUP(B71,'[1]CAR DATA SALES 2025'!$B$2:$E$94,3,FALSE)</f>
        <v>10</v>
      </c>
      <c r="P71" s="4">
        <f>VLOOKUP(B71,'[1]CAR DATA SALES 2025'!$B$2:$E$94,4,FALSE)</f>
        <v>13</v>
      </c>
      <c r="Q71" s="4">
        <f t="shared" si="6"/>
        <v>1662</v>
      </c>
      <c r="R71" s="4" t="s">
        <v>36</v>
      </c>
      <c r="S71" s="4" t="str">
        <f>VLOOKUP(B71,[1]WORKING!$B$2:$D$95,2,FALSE)</f>
        <v>PETROL</v>
      </c>
      <c r="T71" s="4" t="str">
        <f>VLOOKUP(B71,[1]WORKING!$B$2:$D$95,3,FALSE)</f>
        <v>ICE</v>
      </c>
      <c r="U71" s="4" t="s">
        <v>30</v>
      </c>
      <c r="V71" s="5" t="str">
        <f t="shared" si="4"/>
        <v>30.0%</v>
      </c>
      <c r="W71" s="5" t="str">
        <f t="shared" si="5"/>
        <v>-90.4%</v>
      </c>
      <c r="X71" s="6" t="str">
        <f>VLOOKUP(Table7[[#This Row],[Model]],[1]!Table1[[Model]:[YoY %]],19,FALSE)</f>
        <v>52.8%</v>
      </c>
      <c r="Y71" s="6" t="str">
        <f>VLOOKUP(Table7[[#This Row],[Model]],[1]!Table1[[Model]:[YoY %]],20,FALSE)</f>
        <v>-205.9%</v>
      </c>
    </row>
    <row r="72" spans="1:25" x14ac:dyDescent="0.3">
      <c r="A72" s="4" t="s">
        <v>130</v>
      </c>
      <c r="B72" s="4" t="s">
        <v>132</v>
      </c>
      <c r="C72" s="4"/>
      <c r="D72" s="4">
        <f>VLOOKUP(Table7[[#This Row],[Model]],'[1]MAIN(CAR DATA SALES 2024'!$B$2:$E$88,4,FALSE)</f>
        <v>1293</v>
      </c>
      <c r="E72" s="7">
        <v>1159</v>
      </c>
      <c r="F72" s="7">
        <v>1157</v>
      </c>
      <c r="G72" s="7">
        <v>1198</v>
      </c>
      <c r="H72" s="7">
        <v>1070</v>
      </c>
      <c r="I72" s="7">
        <v>1502</v>
      </c>
      <c r="J72" s="7">
        <v>1767</v>
      </c>
      <c r="K72" s="7">
        <v>2213</v>
      </c>
      <c r="L72" s="7">
        <v>1524</v>
      </c>
      <c r="M72" s="7">
        <v>2465</v>
      </c>
      <c r="N72" s="4">
        <f>VLOOKUP(Table7[[#This Row],[Model]],[1]!Table2[[Model]:[Mar-25]],2,FALSE)</f>
        <v>1371</v>
      </c>
      <c r="O72" s="4">
        <f>VLOOKUP(B72,'[1]CAR DATA SALES 2025'!$B$2:$E$94,3,FALSE)</f>
        <v>1035</v>
      </c>
      <c r="P72" s="4">
        <f>VLOOKUP(B72,'[1]CAR DATA SALES 2025'!$B$2:$E$94,4,FALSE)</f>
        <v>897</v>
      </c>
      <c r="Q72" s="4">
        <f t="shared" si="6"/>
        <v>17358</v>
      </c>
      <c r="R72" s="4" t="s">
        <v>29</v>
      </c>
      <c r="S72" s="4" t="str">
        <f>VLOOKUP(B72,[1]WORKING!$B$2:$D$95,2,FALSE)</f>
        <v>PETROL</v>
      </c>
      <c r="T72" s="4" t="str">
        <f>VLOOKUP(B72,[1]WORKING!$B$2:$D$95,3,FALSE)</f>
        <v>ICE</v>
      </c>
      <c r="U72" s="4" t="s">
        <v>30</v>
      </c>
      <c r="V72" s="5" t="str">
        <f t="shared" si="4"/>
        <v>-13.3%</v>
      </c>
      <c r="W72" s="5" t="str">
        <f t="shared" si="5"/>
        <v>-30.6%</v>
      </c>
      <c r="X72" s="6" t="str">
        <f>VLOOKUP(Table7[[#This Row],[Model]],[1]!Table1[[Model]:[YoY %]],19,FALSE)</f>
        <v>13.7%</v>
      </c>
      <c r="Y72" s="6" t="str">
        <f>VLOOKUP(Table7[[#This Row],[Model]],[1]!Table1[[Model]:[YoY %]],20,FALSE)</f>
        <v>-74.1%</v>
      </c>
    </row>
    <row r="73" spans="1:25" x14ac:dyDescent="0.3">
      <c r="A73" s="4" t="s">
        <v>130</v>
      </c>
      <c r="B73" s="4" t="s">
        <v>133</v>
      </c>
      <c r="C73" s="9" t="s">
        <v>134</v>
      </c>
      <c r="D73" s="4"/>
      <c r="E73" s="7"/>
      <c r="F73" s="7"/>
      <c r="G73" s="7"/>
      <c r="H73" s="7"/>
      <c r="I73" s="7"/>
      <c r="J73" s="7"/>
      <c r="K73" s="7"/>
      <c r="L73" s="7"/>
      <c r="M73" s="7">
        <v>0</v>
      </c>
      <c r="N73" s="4">
        <f>VLOOKUP(Table7[[#This Row],[Model]],[1]!Table2[[Model]:[Mar-25]],2,FALSE)</f>
        <v>1242</v>
      </c>
      <c r="O73" s="4">
        <f>VLOOKUP(B73,'[1]CAR DATA SALES 2025'!$B$2:$E$94,3,FALSE)</f>
        <v>3636</v>
      </c>
      <c r="P73" s="4">
        <f>VLOOKUP(B73,'[1]CAR DATA SALES 2025'!$B$2:$E$94,4,FALSE)</f>
        <v>5327</v>
      </c>
      <c r="Q73" s="4">
        <f t="shared" si="6"/>
        <v>10205</v>
      </c>
      <c r="R73" s="4" t="s">
        <v>32</v>
      </c>
      <c r="S73" s="4" t="str">
        <f>VLOOKUP(B73,[1]WORKING!$B$2:$D$95,2,FALSE)</f>
        <v>PETROL</v>
      </c>
      <c r="T73" s="4" t="str">
        <f>VLOOKUP(B73,[1]WORKING!$B$2:$D$95,3,FALSE)</f>
        <v>ICE</v>
      </c>
      <c r="U73" s="4" t="s">
        <v>30</v>
      </c>
      <c r="V73" s="5" t="str">
        <f t="shared" si="4"/>
        <v>46.5%</v>
      </c>
      <c r="W73" s="5" t="str">
        <f t="shared" si="5"/>
        <v>N/A</v>
      </c>
      <c r="X73" s="6" t="str">
        <f>VLOOKUP(Table7[[#This Row],[Model]],[1]!Table1[[Model]:[YoY %]],19,FALSE)</f>
        <v>N/A</v>
      </c>
      <c r="Y73" s="6" t="str">
        <f>VLOOKUP(Table7[[#This Row],[Model]],[1]!Table1[[Model]:[YoY %]],20,FALSE)</f>
        <v>N/A</v>
      </c>
    </row>
    <row r="74" spans="1:25" x14ac:dyDescent="0.3">
      <c r="A74" s="4" t="s">
        <v>130</v>
      </c>
      <c r="B74" s="4" t="s">
        <v>135</v>
      </c>
      <c r="C74" s="4"/>
      <c r="D74" s="4">
        <f>VLOOKUP(Table7[[#This Row],[Model]],'[1]MAIN(CAR DATA SALES 2024'!$B$2:$E$88,4,FALSE)</f>
        <v>1358</v>
      </c>
      <c r="E74" s="7">
        <v>1253</v>
      </c>
      <c r="F74" s="7">
        <v>1538</v>
      </c>
      <c r="G74" s="7">
        <v>1230</v>
      </c>
      <c r="H74" s="4">
        <v>793</v>
      </c>
      <c r="I74" s="7">
        <v>1122</v>
      </c>
      <c r="J74" s="7">
        <v>1391</v>
      </c>
      <c r="K74" s="7">
        <v>1637</v>
      </c>
      <c r="L74" s="7">
        <v>1131</v>
      </c>
      <c r="M74" s="7">
        <v>1894</v>
      </c>
      <c r="N74" s="4">
        <f>VLOOKUP(Table7[[#This Row],[Model]],[1]!Table2[[Model]:[Mar-25]],2,FALSE)</f>
        <v>1510</v>
      </c>
      <c r="O74" s="4">
        <f>VLOOKUP(B74,'[1]CAR DATA SALES 2025'!$B$2:$E$94,3,FALSE)</f>
        <v>901</v>
      </c>
      <c r="P74" s="4">
        <f>VLOOKUP(B74,'[1]CAR DATA SALES 2025'!$B$2:$E$94,4,FALSE)</f>
        <v>1185</v>
      </c>
      <c r="Q74" s="4">
        <f t="shared" si="6"/>
        <v>15585</v>
      </c>
      <c r="R74" s="4" t="s">
        <v>29</v>
      </c>
      <c r="S74" s="4" t="str">
        <f>VLOOKUP(B74,[1]WORKING!$B$2:$D$95,2,FALSE)</f>
        <v>PETROL</v>
      </c>
      <c r="T74" s="4" t="str">
        <f>VLOOKUP(B74,[1]WORKING!$B$2:$D$95,3,FALSE)</f>
        <v>ICE</v>
      </c>
      <c r="U74" s="4" t="s">
        <v>40</v>
      </c>
      <c r="V74" s="5" t="str">
        <f t="shared" si="4"/>
        <v>31.5%</v>
      </c>
      <c r="W74" s="5" t="str">
        <f t="shared" si="5"/>
        <v>-12.7%</v>
      </c>
      <c r="X74" s="6" t="str">
        <f>VLOOKUP(Table7[[#This Row],[Model]],[1]!Table1[[Model]:[YoY %]],19,FALSE)</f>
        <v>32.1%</v>
      </c>
      <c r="Y74" s="6" t="str">
        <f>VLOOKUP(Table7[[#This Row],[Model]],[1]!Table1[[Model]:[YoY %]],20,FALSE)</f>
        <v>-15.9%</v>
      </c>
    </row>
    <row r="75" spans="1:25" x14ac:dyDescent="0.3">
      <c r="A75" s="4" t="s">
        <v>130</v>
      </c>
      <c r="B75" s="4" t="s">
        <v>136</v>
      </c>
      <c r="C75" s="4" t="s">
        <v>137</v>
      </c>
      <c r="D75" s="4">
        <f>VLOOKUP(Table7[[#This Row],[Model]],'[1]MAIN(CAR DATA SALES 2024'!$B$2:$E$88,4,FALSE)</f>
        <v>15</v>
      </c>
      <c r="E75" s="4">
        <v>13</v>
      </c>
      <c r="F75" s="4">
        <v>4</v>
      </c>
      <c r="G75" s="4">
        <v>1</v>
      </c>
      <c r="H75" s="7">
        <v>0</v>
      </c>
      <c r="I75" s="4">
        <v>3</v>
      </c>
      <c r="J75" s="4">
        <v>3</v>
      </c>
      <c r="K75" s="4">
        <v>20</v>
      </c>
      <c r="L75" s="4">
        <v>6</v>
      </c>
      <c r="M75" s="7">
        <v>1</v>
      </c>
      <c r="N75" s="4">
        <f>VLOOKUP(Table7[[#This Row],[Model]],[1]!Table2[[Model]:[Mar-25]],2,FALSE)</f>
        <v>0</v>
      </c>
      <c r="O75" s="4">
        <f>VLOOKUP(B75,'[1]CAR DATA SALES 2025'!$B$2:$E$94,3,FALSE)</f>
        <v>1</v>
      </c>
      <c r="P75" s="4">
        <f>VLOOKUP(B75,'[1]CAR DATA SALES 2025'!$B$2:$E$94,4,FALSE)</f>
        <v>0</v>
      </c>
      <c r="Q75" s="4">
        <f t="shared" si="6"/>
        <v>52</v>
      </c>
      <c r="R75" s="4" t="s">
        <v>36</v>
      </c>
      <c r="S75" s="4" t="str">
        <f>VLOOKUP(B75,[1]WORKING!$B$2:$D$95,2,FALSE)</f>
        <v>PETROL</v>
      </c>
      <c r="T75" s="4" t="str">
        <f>VLOOKUP(B75,[1]WORKING!$B$2:$D$95,3,FALSE)</f>
        <v>ICE</v>
      </c>
      <c r="U75" s="4" t="s">
        <v>40</v>
      </c>
      <c r="V75" s="5" t="str">
        <f t="shared" si="4"/>
        <v>-100.0%</v>
      </c>
      <c r="W75" s="5" t="str">
        <f t="shared" si="5"/>
        <v>-100.0%</v>
      </c>
      <c r="X75" s="6" t="str">
        <f>VLOOKUP(Table7[[#This Row],[Model]],[1]!Table1[[Model]:[YoY %]],19,FALSE)</f>
        <v>N/A</v>
      </c>
      <c r="Y75" s="6" t="str">
        <f>VLOOKUP(Table7[[#This Row],[Model]],[1]!Table1[[Model]:[YoY %]],20,FALSE)</f>
        <v>-593.3%</v>
      </c>
    </row>
    <row r="76" spans="1:25" x14ac:dyDescent="0.3">
      <c r="A76" s="4" t="s">
        <v>138</v>
      </c>
      <c r="B76" s="4" t="s">
        <v>139</v>
      </c>
      <c r="C76" s="4"/>
      <c r="D76" s="4">
        <f>VLOOKUP(Table7[[#This Row],[Model]],'[1]MAIN(CAR DATA SALES 2024'!$B$2:$E$88,4,FALSE)</f>
        <v>5985</v>
      </c>
      <c r="E76" s="7">
        <v>5148</v>
      </c>
      <c r="F76" s="7">
        <v>4983</v>
      </c>
      <c r="G76" s="7">
        <v>3937</v>
      </c>
      <c r="H76" s="7">
        <v>3444</v>
      </c>
      <c r="I76" s="7">
        <v>3031</v>
      </c>
      <c r="J76" s="7">
        <v>2758</v>
      </c>
      <c r="K76" s="7">
        <v>2642</v>
      </c>
      <c r="L76" s="7">
        <v>2083</v>
      </c>
      <c r="M76" s="7">
        <v>1866</v>
      </c>
      <c r="N76" s="4">
        <f>VLOOKUP(Table7[[#This Row],[Model]],[1]!Table2[[Model]:[Mar-25]],2,FALSE)</f>
        <v>2033</v>
      </c>
      <c r="O76" s="4">
        <f>VLOOKUP(B76,'[1]CAR DATA SALES 2025'!$B$2:$E$94,3,FALSE)</f>
        <v>1604</v>
      </c>
      <c r="P76" s="4">
        <f>VLOOKUP(B76,'[1]CAR DATA SALES 2025'!$B$2:$E$94,4,FALSE)</f>
        <v>1658</v>
      </c>
      <c r="Q76" s="4">
        <f t="shared" si="6"/>
        <v>35187</v>
      </c>
      <c r="R76" s="4" t="s">
        <v>50</v>
      </c>
      <c r="S76" s="4" t="str">
        <f>VLOOKUP(B76,[1]WORKING!$B$2:$D$95,2,FALSE)</f>
        <v>PETROL/DIESEL/CNG</v>
      </c>
      <c r="T76" s="4" t="str">
        <f>VLOOKUP(B76,[1]WORKING!$B$2:$D$95,3,FALSE)</f>
        <v>ICE</v>
      </c>
      <c r="U76" s="4" t="s">
        <v>33</v>
      </c>
      <c r="V76" s="5" t="str">
        <f t="shared" si="4"/>
        <v>3.4%</v>
      </c>
      <c r="W76" s="5" t="str">
        <f t="shared" si="5"/>
        <v>-72.3%</v>
      </c>
      <c r="X76" s="6" t="str">
        <f>VLOOKUP(Table7[[#This Row],[Model]],[1]!Table1[[Model]:[YoY %]],19,FALSE)</f>
        <v>31.0%</v>
      </c>
      <c r="Y76" s="6" t="str">
        <f>VLOOKUP(Table7[[#This Row],[Model]],[1]!Table1[[Model]:[YoY %]],20,FALSE)</f>
        <v>35.5%</v>
      </c>
    </row>
    <row r="77" spans="1:25" x14ac:dyDescent="0.3">
      <c r="A77" s="4" t="s">
        <v>138</v>
      </c>
      <c r="B77" s="4" t="s">
        <v>140</v>
      </c>
      <c r="C77" s="9" t="s">
        <v>28</v>
      </c>
      <c r="D77" s="4"/>
      <c r="E77" s="7"/>
      <c r="F77" s="7"/>
      <c r="G77" s="7"/>
      <c r="H77" s="7"/>
      <c r="I77" s="7">
        <v>3455</v>
      </c>
      <c r="J77" s="7">
        <v>4763</v>
      </c>
      <c r="K77" s="7">
        <v>5351</v>
      </c>
      <c r="L77" s="7">
        <v>5101</v>
      </c>
      <c r="M77" s="7">
        <v>4994</v>
      </c>
      <c r="N77" s="4">
        <f>VLOOKUP(Table7[[#This Row],[Model]],[1]!Table2[[Model]:[Mar-25]],2,FALSE)</f>
        <v>3087</v>
      </c>
      <c r="O77" s="4">
        <f>VLOOKUP(B77,'[1]CAR DATA SALES 2025'!$B$2:$E$94,3,FALSE)</f>
        <v>3483</v>
      </c>
      <c r="P77" s="4">
        <f>VLOOKUP(B77,'[1]CAR DATA SALES 2025'!$B$2:$E$94,4,FALSE)</f>
        <v>3785</v>
      </c>
      <c r="Q77" s="4">
        <f t="shared" si="6"/>
        <v>34019</v>
      </c>
      <c r="R77" s="4" t="s">
        <v>29</v>
      </c>
      <c r="S77" s="4" t="str">
        <f>VLOOKUP(B77,[1]WORKING!$B$2:$D$95,2,FALSE)</f>
        <v>BOTH</v>
      </c>
      <c r="T77" s="4" t="str">
        <f>VLOOKUP(B77,[1]WORKING!$B$2:$D$95,3,FALSE)</f>
        <v>ICE/EV</v>
      </c>
      <c r="U77" s="4" t="s">
        <v>30</v>
      </c>
      <c r="V77" s="5" t="str">
        <f t="shared" si="4"/>
        <v>8.7%</v>
      </c>
      <c r="W77" s="5" t="str">
        <f t="shared" si="5"/>
        <v>N/A</v>
      </c>
      <c r="X77" s="6" t="str">
        <f>VLOOKUP(Table7[[#This Row],[Model]],[1]!Table1[[Model]:[YoY %]],19,FALSE)</f>
        <v>N/A</v>
      </c>
      <c r="Y77" s="6" t="str">
        <f>VLOOKUP(Table7[[#This Row],[Model]],[1]!Table1[[Model]:[YoY %]],20,FALSE)</f>
        <v>N/A</v>
      </c>
    </row>
    <row r="78" spans="1:25" x14ac:dyDescent="0.3">
      <c r="A78" s="4" t="s">
        <v>138</v>
      </c>
      <c r="B78" s="4" t="s">
        <v>141</v>
      </c>
      <c r="C78" s="4"/>
      <c r="D78" s="4">
        <f>VLOOKUP(Table7[[#This Row],[Model]],'[1]MAIN(CAR DATA SALES 2024'!$B$2:$E$88,4,FALSE)</f>
        <v>2054</v>
      </c>
      <c r="E78" s="7">
        <v>1746</v>
      </c>
      <c r="F78" s="7">
        <v>1625</v>
      </c>
      <c r="G78" s="7">
        <v>1347</v>
      </c>
      <c r="H78" s="7">
        <v>1991</v>
      </c>
      <c r="I78" s="7">
        <v>1892</v>
      </c>
      <c r="J78" s="7">
        <v>1600</v>
      </c>
      <c r="K78" s="7">
        <v>1947</v>
      </c>
      <c r="L78" s="7">
        <v>1374</v>
      </c>
      <c r="M78" s="7">
        <v>1307</v>
      </c>
      <c r="N78" s="4">
        <f>VLOOKUP(Table7[[#This Row],[Model]],[1]!Table2[[Model]:[Mar-25]],2,FALSE)</f>
        <v>1488</v>
      </c>
      <c r="O78" s="4">
        <f>VLOOKUP(B78,'[1]CAR DATA SALES 2025'!$B$2:$E$94,3,FALSE)</f>
        <v>1376</v>
      </c>
      <c r="P78" s="4">
        <f>VLOOKUP(B78,'[1]CAR DATA SALES 2025'!$B$2:$E$94,4,FALSE)</f>
        <v>1265</v>
      </c>
      <c r="Q78" s="4">
        <f t="shared" si="6"/>
        <v>18958</v>
      </c>
      <c r="R78" s="4" t="s">
        <v>61</v>
      </c>
      <c r="S78" s="4" t="str">
        <f>VLOOKUP(B78,[1]WORKING!$B$2:$D$95,2,FALSE)</f>
        <v xml:space="preserve"> EV/DIESEL</v>
      </c>
      <c r="T78" s="4" t="str">
        <f>VLOOKUP(B78,[1]WORKING!$B$2:$D$95,3,FALSE)</f>
        <v>ICE/EV</v>
      </c>
      <c r="U78" s="4" t="s">
        <v>30</v>
      </c>
      <c r="V78" s="5" t="str">
        <f t="shared" si="4"/>
        <v>-8.1%</v>
      </c>
      <c r="W78" s="5" t="str">
        <f t="shared" si="5"/>
        <v>-38.4%</v>
      </c>
      <c r="X78" s="6" t="str">
        <f>VLOOKUP(Table7[[#This Row],[Model]],[1]!Table1[[Model]:[YoY %]],19,FALSE)</f>
        <v>-19.8%</v>
      </c>
      <c r="Y78" s="6" t="str">
        <f>VLOOKUP(Table7[[#This Row],[Model]],[1]!Table1[[Model]:[YoY %]],20,FALSE)</f>
        <v>-24.7%</v>
      </c>
    </row>
    <row r="79" spans="1:25" x14ac:dyDescent="0.3">
      <c r="A79" s="4" t="s">
        <v>138</v>
      </c>
      <c r="B79" s="4" t="s">
        <v>142</v>
      </c>
      <c r="C79" s="4"/>
      <c r="D79" s="4">
        <f>VLOOKUP(Table7[[#This Row],[Model]],'[1]MAIN(CAR DATA SALES 2024'!$B$2:$E$88,4,FALSE)</f>
        <v>14058</v>
      </c>
      <c r="E79" s="7">
        <v>11168</v>
      </c>
      <c r="F79" s="7">
        <v>11457</v>
      </c>
      <c r="G79" s="7">
        <v>12066</v>
      </c>
      <c r="H79" s="7">
        <v>13902</v>
      </c>
      <c r="I79" s="7">
        <v>12289</v>
      </c>
      <c r="J79" s="7">
        <v>11470</v>
      </c>
      <c r="K79" s="7">
        <v>14759</v>
      </c>
      <c r="L79" s="7">
        <v>15329</v>
      </c>
      <c r="M79" s="7">
        <v>13536</v>
      </c>
      <c r="N79" s="4">
        <f>VLOOKUP(Table7[[#This Row],[Model]],[1]!Table2[[Model]:[Mar-25]],2,FALSE)</f>
        <v>15397</v>
      </c>
      <c r="O79" s="4">
        <f>VLOOKUP(B79,'[1]CAR DATA SALES 2025'!$B$2:$E$94,3,FALSE)</f>
        <v>15349</v>
      </c>
      <c r="P79" s="4">
        <f>VLOOKUP(B79,'[1]CAR DATA SALES 2025'!$B$2:$E$94,4,FALSE)</f>
        <v>16366</v>
      </c>
      <c r="Q79" s="4">
        <f t="shared" si="6"/>
        <v>163088</v>
      </c>
      <c r="R79" s="4" t="s">
        <v>32</v>
      </c>
      <c r="S79" s="4" t="str">
        <f>VLOOKUP(B79,[1]WORKING!$B$2:$D$95,2,FALSE)</f>
        <v>BOTH</v>
      </c>
      <c r="T79" s="4" t="str">
        <f>VLOOKUP(B79,[1]WORKING!$B$2:$D$95,3,FALSE)</f>
        <v>ICE/EV</v>
      </c>
      <c r="U79" s="4" t="s">
        <v>30</v>
      </c>
      <c r="V79" s="5" t="str">
        <f t="shared" si="4"/>
        <v>6.6%</v>
      </c>
      <c r="W79" s="5" t="str">
        <f t="shared" si="5"/>
        <v>16.4%</v>
      </c>
      <c r="X79" s="6" t="str">
        <f>VLOOKUP(Table7[[#This Row],[Model]],[1]!Table1[[Model]:[YoY %]],19,FALSE)</f>
        <v>-2.3%</v>
      </c>
      <c r="Y79" s="6" t="str">
        <f>VLOOKUP(Table7[[#This Row],[Model]],[1]!Table1[[Model]:[YoY %]],20,FALSE)</f>
        <v>-5.1%</v>
      </c>
    </row>
    <row r="80" spans="1:25" x14ac:dyDescent="0.3">
      <c r="A80" s="4" t="s">
        <v>138</v>
      </c>
      <c r="B80" s="4" t="s">
        <v>143</v>
      </c>
      <c r="C80" s="4"/>
      <c r="D80" s="4">
        <f>VLOOKUP(Table7[[#This Row],[Model]],'[1]MAIN(CAR DATA SALES 2024'!$B$2:$E$88,4,FALSE)</f>
        <v>17547</v>
      </c>
      <c r="E80" s="7">
        <v>19158</v>
      </c>
      <c r="F80" s="7">
        <v>18949</v>
      </c>
      <c r="G80" s="7">
        <v>18238</v>
      </c>
      <c r="H80" s="7">
        <v>16121</v>
      </c>
      <c r="I80" s="7">
        <v>15643</v>
      </c>
      <c r="J80" s="7">
        <v>13711</v>
      </c>
      <c r="K80" s="7">
        <v>15740</v>
      </c>
      <c r="L80" s="7">
        <v>15435</v>
      </c>
      <c r="M80" s="7">
        <v>15073</v>
      </c>
      <c r="N80" s="4">
        <f>VLOOKUP(Table7[[#This Row],[Model]],[1]!Table2[[Model]:[Mar-25]],2,FALSE)</f>
        <v>16231</v>
      </c>
      <c r="O80" s="4">
        <f>VLOOKUP(B80,'[1]CAR DATA SALES 2025'!$B$2:$E$94,3,FALSE)</f>
        <v>14559</v>
      </c>
      <c r="P80" s="4">
        <f>VLOOKUP(B80,'[1]CAR DATA SALES 2025'!$B$2:$E$94,4,FALSE)</f>
        <v>17714</v>
      </c>
      <c r="Q80" s="4">
        <f t="shared" si="6"/>
        <v>196572</v>
      </c>
      <c r="R80" s="4" t="s">
        <v>32</v>
      </c>
      <c r="S80" s="4" t="str">
        <f>VLOOKUP(B80,[1]WORKING!$B$2:$D$95,2,FALSE)</f>
        <v>EV/PETROL/CNG</v>
      </c>
      <c r="T80" s="4" t="str">
        <f>VLOOKUP(B80,[1]WORKING!$B$2:$D$95,3,FALSE)</f>
        <v>ICE/EV</v>
      </c>
      <c r="U80" s="4" t="s">
        <v>30</v>
      </c>
      <c r="V80" s="5" t="str">
        <f t="shared" si="4"/>
        <v>21.7%</v>
      </c>
      <c r="W80" s="5" t="str">
        <f t="shared" si="5"/>
        <v>1.0%</v>
      </c>
      <c r="X80" s="6" t="str">
        <f>VLOOKUP(Table7[[#This Row],[Model]],[1]!Table1[[Model]:[YoY %]],19,FALSE)</f>
        <v>-4.8%</v>
      </c>
      <c r="Y80" s="6" t="str">
        <f>VLOOKUP(Table7[[#This Row],[Model]],[1]!Table1[[Model]:[YoY %]],20,FALSE)</f>
        <v>37.9%</v>
      </c>
    </row>
    <row r="81" spans="1:25" x14ac:dyDescent="0.3">
      <c r="A81" s="4" t="s">
        <v>138</v>
      </c>
      <c r="B81" s="4" t="s">
        <v>144</v>
      </c>
      <c r="C81" s="4"/>
      <c r="D81" s="4">
        <f>VLOOKUP(Table7[[#This Row],[Model]],'[1]MAIN(CAR DATA SALES 2024'!$B$2:$E$88,4,FALSE)</f>
        <v>2063</v>
      </c>
      <c r="E81" s="7">
        <v>1716</v>
      </c>
      <c r="F81" s="7">
        <v>1661</v>
      </c>
      <c r="G81" s="7">
        <v>1394</v>
      </c>
      <c r="H81" s="7">
        <v>2109</v>
      </c>
      <c r="I81" s="7">
        <v>1951</v>
      </c>
      <c r="J81" s="7">
        <v>1644</v>
      </c>
      <c r="K81" s="7">
        <v>2086</v>
      </c>
      <c r="L81" s="7">
        <v>1563</v>
      </c>
      <c r="M81" s="7">
        <v>1385</v>
      </c>
      <c r="N81" s="4">
        <f>VLOOKUP(Table7[[#This Row],[Model]],[1]!Table2[[Model]:[Mar-25]],2,FALSE)</f>
        <v>1548</v>
      </c>
      <c r="O81" s="4">
        <f>VLOOKUP(B81,'[1]CAR DATA SALES 2025'!$B$2:$E$94,3,FALSE)</f>
        <v>1562</v>
      </c>
      <c r="P81" s="4">
        <f>VLOOKUP(B81,'[1]CAR DATA SALES 2025'!$B$2:$E$94,4,FALSE)</f>
        <v>1415</v>
      </c>
      <c r="Q81" s="4">
        <f t="shared" si="6"/>
        <v>20034</v>
      </c>
      <c r="R81" s="4" t="s">
        <v>61</v>
      </c>
      <c r="S81" s="4" t="str">
        <f>VLOOKUP(B81,[1]WORKING!$B$2:$D$95,2,FALSE)</f>
        <v>DIESEL/EV</v>
      </c>
      <c r="T81" s="4" t="str">
        <f>VLOOKUP(B81,[1]WORKING!$B$2:$D$95,3,FALSE)</f>
        <v>ICE/EV</v>
      </c>
      <c r="U81" s="4" t="s">
        <v>30</v>
      </c>
      <c r="V81" s="5" t="str">
        <f t="shared" si="4"/>
        <v>-9.4%</v>
      </c>
      <c r="W81" s="5" t="str">
        <f t="shared" si="5"/>
        <v>-31.4%</v>
      </c>
      <c r="X81" s="6" t="str">
        <f>VLOOKUP(Table7[[#This Row],[Model]],[1]!Table1[[Model]:[YoY %]],19,FALSE)</f>
        <v>-22.1%</v>
      </c>
      <c r="Y81" s="6" t="str">
        <f>VLOOKUP(Table7[[#This Row],[Model]],[1]!Table1[[Model]:[YoY %]],20,FALSE)</f>
        <v>8.4%</v>
      </c>
    </row>
    <row r="82" spans="1:25" x14ac:dyDescent="0.3">
      <c r="A82" s="4" t="s">
        <v>138</v>
      </c>
      <c r="B82" s="4" t="s">
        <v>145</v>
      </c>
      <c r="C82" s="4"/>
      <c r="D82" s="4">
        <f>VLOOKUP(Table7[[#This Row],[Model]],'[1]MAIN(CAR DATA SALES 2024'!$B$2:$E$88,4,FALSE)</f>
        <v>6381</v>
      </c>
      <c r="E82" s="7">
        <v>6796</v>
      </c>
      <c r="F82" s="7">
        <v>5927</v>
      </c>
      <c r="G82" s="7">
        <v>5174</v>
      </c>
      <c r="H82" s="7">
        <v>5665</v>
      </c>
      <c r="I82" s="7">
        <v>4733</v>
      </c>
      <c r="J82" s="7">
        <v>4225</v>
      </c>
      <c r="K82" s="7">
        <v>4682</v>
      </c>
      <c r="L82" s="7">
        <v>5319</v>
      </c>
      <c r="M82" s="7">
        <v>5006</v>
      </c>
      <c r="N82" s="4">
        <f>VLOOKUP(Table7[[#This Row],[Model]],[1]!Table2[[Model]:[Mar-25]],2,FALSE)</f>
        <v>6807</v>
      </c>
      <c r="O82" s="4">
        <f>VLOOKUP(B82,'[1]CAR DATA SALES 2025'!$B$2:$E$94,3,FALSE)</f>
        <v>6954</v>
      </c>
      <c r="P82" s="4">
        <f>VLOOKUP(B82,'[1]CAR DATA SALES 2025'!$B$2:$E$94,4,FALSE)</f>
        <v>7946</v>
      </c>
      <c r="Q82" s="4">
        <f t="shared" si="6"/>
        <v>69234</v>
      </c>
      <c r="R82" s="4" t="s">
        <v>97</v>
      </c>
      <c r="S82" s="4" t="str">
        <f>VLOOKUP(B82,[1]WORKING!$B$2:$D$95,2,FALSE)</f>
        <v>EV/PETROL/CNG</v>
      </c>
      <c r="T82" s="4" t="str">
        <f>VLOOKUP(B82,[1]WORKING!$B$2:$D$95,3,FALSE)</f>
        <v>ICE/EV</v>
      </c>
      <c r="U82" s="4" t="s">
        <v>33</v>
      </c>
      <c r="V82" s="5" t="str">
        <f t="shared" si="4"/>
        <v>14.3%</v>
      </c>
      <c r="W82" s="5" t="str">
        <f t="shared" si="5"/>
        <v>24.5%</v>
      </c>
      <c r="X82" s="6" t="str">
        <f>VLOOKUP(Table7[[#This Row],[Model]],[1]!Table1[[Model]:[YoY %]],19,FALSE)</f>
        <v>-8.1%</v>
      </c>
      <c r="Y82" s="6" t="str">
        <f>VLOOKUP(Table7[[#This Row],[Model]],[1]!Table1[[Model]:[YoY %]],20,FALSE)</f>
        <v>-15.4%</v>
      </c>
    </row>
    <row r="83" spans="1:25" x14ac:dyDescent="0.3">
      <c r="A83" s="4" t="s">
        <v>138</v>
      </c>
      <c r="B83" s="4" t="s">
        <v>146</v>
      </c>
      <c r="C83" s="4"/>
      <c r="D83" s="4">
        <f>VLOOKUP(Table7[[#This Row],[Model]],'[1]MAIN(CAR DATA SALES 2024'!$B$2:$E$88,4,FALSE)</f>
        <v>2017</v>
      </c>
      <c r="E83" s="7">
        <v>2153</v>
      </c>
      <c r="F83" s="7">
        <v>2098</v>
      </c>
      <c r="G83" s="4"/>
      <c r="H83" s="7">
        <v>1495</v>
      </c>
      <c r="I83" s="7">
        <v>1148</v>
      </c>
      <c r="J83" s="7">
        <v>894</v>
      </c>
      <c r="K83" s="7">
        <v>926</v>
      </c>
      <c r="L83" s="7">
        <v>859</v>
      </c>
      <c r="M83" s="7">
        <v>1054</v>
      </c>
      <c r="N83" s="4">
        <f>VLOOKUP(Table7[[#This Row],[Model]],[1]!Table2[[Model]:[Mar-25]],2,FALSE)</f>
        <v>1484</v>
      </c>
      <c r="O83" s="4">
        <f>VLOOKUP(B83,'[1]CAR DATA SALES 2025'!$B$2:$E$94,3,FALSE)</f>
        <v>1550</v>
      </c>
      <c r="P83" s="4">
        <f>VLOOKUP(B83,'[1]CAR DATA SALES 2025'!$B$2:$E$94,4,FALSE)</f>
        <v>1467</v>
      </c>
      <c r="Q83" s="4">
        <f t="shared" si="6"/>
        <v>15128</v>
      </c>
      <c r="R83" s="4" t="s">
        <v>32</v>
      </c>
      <c r="S83" s="4" t="str">
        <f>VLOOKUP(B83,[1]WORKING!$B$2:$D$95,2,FALSE)</f>
        <v>EV/PETROL/CNG</v>
      </c>
      <c r="T83" s="4" t="str">
        <f>VLOOKUP(B83,[1]WORKING!$B$2:$D$95,3,FALSE)</f>
        <v>ICE/EV</v>
      </c>
      <c r="U83" s="4" t="s">
        <v>40</v>
      </c>
      <c r="V83" s="5" t="str">
        <f t="shared" si="4"/>
        <v>-5.4%</v>
      </c>
      <c r="W83" s="5" t="str">
        <f t="shared" si="5"/>
        <v>-27.3%</v>
      </c>
      <c r="X83" s="6" t="str">
        <f>VLOOKUP(Table7[[#This Row],[Model]],[1]!Table1[[Model]:[YoY %]],19,FALSE)</f>
        <v>17.8%</v>
      </c>
      <c r="Y83" s="6" t="str">
        <f>VLOOKUP(Table7[[#This Row],[Model]],[1]!Table1[[Model]:[YoY %]],20,FALSE)</f>
        <v>-34.1%</v>
      </c>
    </row>
    <row r="84" spans="1:25" x14ac:dyDescent="0.3">
      <c r="A84" s="4" t="s">
        <v>147</v>
      </c>
      <c r="B84" s="4" t="s">
        <v>148</v>
      </c>
      <c r="C84" s="4"/>
      <c r="D84" s="4">
        <f>VLOOKUP(Table7[[#This Row],[Model]],'[1]MAIN(CAR DATA SALES 2024'!$B$2:$E$88,4,FALSE)</f>
        <v>232</v>
      </c>
      <c r="E84" s="4">
        <v>179</v>
      </c>
      <c r="F84" s="4">
        <v>122</v>
      </c>
      <c r="G84" s="4">
        <v>143</v>
      </c>
      <c r="H84" s="4">
        <v>126</v>
      </c>
      <c r="I84" s="4">
        <v>154</v>
      </c>
      <c r="J84" s="4">
        <v>127</v>
      </c>
      <c r="K84" s="4">
        <v>176</v>
      </c>
      <c r="L84" s="4">
        <v>130</v>
      </c>
      <c r="M84" s="4">
        <v>88</v>
      </c>
      <c r="N84" s="4">
        <f>VLOOKUP(Table7[[#This Row],[Model]],[1]!Table2[[Model]:[Mar-25]],2,FALSE)</f>
        <v>197</v>
      </c>
      <c r="O84" s="4">
        <f>VLOOKUP(B84,'[1]CAR DATA SALES 2025'!$B$2:$E$94,3,FALSE)</f>
        <v>209</v>
      </c>
      <c r="P84" s="4">
        <f>VLOOKUP(B84,'[1]CAR DATA SALES 2025'!$B$2:$E$94,4,FALSE)</f>
        <v>203</v>
      </c>
      <c r="Q84" s="4">
        <f t="shared" si="6"/>
        <v>1854</v>
      </c>
      <c r="R84" s="4" t="s">
        <v>36</v>
      </c>
      <c r="S84" s="4" t="str">
        <f>VLOOKUP(B84,[1]WORKING!$B$2:$D$95,2,FALSE)</f>
        <v>PETROL(HYBRID)</v>
      </c>
      <c r="T84" s="4" t="str">
        <f>VLOOKUP(B84,[1]WORKING!$B$2:$D$95,3,FALSE)</f>
        <v>ICE</v>
      </c>
      <c r="U84" s="4" t="s">
        <v>40</v>
      </c>
      <c r="V84" s="5" t="str">
        <f t="shared" si="4"/>
        <v>-2.9%</v>
      </c>
      <c r="W84" s="5" t="str">
        <f t="shared" si="5"/>
        <v>-12.5%</v>
      </c>
      <c r="X84" s="6" t="str">
        <f>VLOOKUP(Table7[[#This Row],[Model]],[1]!Table1[[Model]:[YoY %]],19,FALSE)</f>
        <v>10.5%</v>
      </c>
      <c r="Y84" s="6" t="str">
        <f>VLOOKUP(Table7[[#This Row],[Model]],[1]!Table1[[Model]:[YoY %]],20,FALSE)</f>
        <v>57.8%</v>
      </c>
    </row>
    <row r="85" spans="1:25" x14ac:dyDescent="0.3">
      <c r="A85" s="4" t="s">
        <v>147</v>
      </c>
      <c r="B85" s="4" t="s">
        <v>149</v>
      </c>
      <c r="C85" s="4"/>
      <c r="D85" s="4">
        <f>VLOOKUP(Table7[[#This Row],[Model]],'[1]MAIN(CAR DATA SALES 2024'!$B$2:$E$88,4,FALSE)</f>
        <v>3621</v>
      </c>
      <c r="E85" s="7">
        <v>2325</v>
      </c>
      <c r="F85" s="7">
        <v>2422</v>
      </c>
      <c r="G85" s="7">
        <v>2675</v>
      </c>
      <c r="H85" s="7">
        <v>2380</v>
      </c>
      <c r="I85" s="7">
        <v>2338</v>
      </c>
      <c r="J85" s="7">
        <v>2473</v>
      </c>
      <c r="K85" s="7">
        <v>3684</v>
      </c>
      <c r="L85" s="7">
        <v>2865</v>
      </c>
      <c r="M85" s="7">
        <v>2206</v>
      </c>
      <c r="N85" s="4">
        <f>VLOOKUP(Table7[[#This Row],[Model]],[1]!Table2[[Model]:[Mar-25]],2,FALSE)</f>
        <v>3149</v>
      </c>
      <c r="O85" s="4">
        <f>VLOOKUP(B85,'[1]CAR DATA SALES 2025'!$B$2:$E$94,3,FALSE)</f>
        <v>2876</v>
      </c>
      <c r="P85" s="4">
        <f>VLOOKUP(B85,'[1]CAR DATA SALES 2025'!$B$2:$E$94,4,FALSE)</f>
        <v>3392</v>
      </c>
      <c r="Q85" s="4">
        <f t="shared" si="6"/>
        <v>32785</v>
      </c>
      <c r="R85" s="4" t="s">
        <v>36</v>
      </c>
      <c r="S85" s="4" t="str">
        <f>VLOOKUP(B85,[1]WORKING!$B$2:$D$95,2,FALSE)</f>
        <v>PETROL/DIESEL/HYBRID</v>
      </c>
      <c r="T85" s="4" t="str">
        <f>VLOOKUP(B85,[1]WORKING!$B$2:$D$95,3,FALSE)</f>
        <v>ICE</v>
      </c>
      <c r="U85" s="4" t="s">
        <v>30</v>
      </c>
      <c r="V85" s="5" t="str">
        <f t="shared" si="4"/>
        <v>17.9%</v>
      </c>
      <c r="W85" s="5" t="str">
        <f t="shared" si="5"/>
        <v>-6.3%</v>
      </c>
      <c r="X85" s="6" t="str">
        <f>VLOOKUP(Table7[[#This Row],[Model]],[1]!Table1[[Model]:[YoY %]],19,FALSE)</f>
        <v>6.7%</v>
      </c>
      <c r="Y85" s="6" t="str">
        <f>VLOOKUP(Table7[[#This Row],[Model]],[1]!Table1[[Model]:[YoY %]],20,FALSE)</f>
        <v>14.2%</v>
      </c>
    </row>
    <row r="86" spans="1:25" x14ac:dyDescent="0.3">
      <c r="A86" s="4" t="s">
        <v>147</v>
      </c>
      <c r="B86" s="4" t="s">
        <v>150</v>
      </c>
      <c r="C86" s="4"/>
      <c r="D86" s="4">
        <f>VLOOKUP(Table7[[#This Row],[Model]],'[1]MAIN(CAR DATA SALES 2024'!$B$2:$E$88,4,FALSE)</f>
        <v>4319</v>
      </c>
      <c r="E86" s="7">
        <v>4380</v>
      </c>
      <c r="F86" s="7">
        <v>4517</v>
      </c>
      <c r="G86" s="7">
        <v>4118</v>
      </c>
      <c r="H86" s="7">
        <v>4836</v>
      </c>
      <c r="I86" s="7">
        <v>4624</v>
      </c>
      <c r="J86" s="7">
        <v>3246</v>
      </c>
      <c r="K86" s="7">
        <v>4273</v>
      </c>
      <c r="L86" s="7">
        <v>3806</v>
      </c>
      <c r="M86" s="7">
        <v>3487</v>
      </c>
      <c r="N86" s="4">
        <f>VLOOKUP(Table7[[#This Row],[Model]],[1]!Table2[[Model]:[Mar-25]],2,FALSE)</f>
        <v>3455</v>
      </c>
      <c r="O86" s="4">
        <f>VLOOKUP(B86,'[1]CAR DATA SALES 2025'!$B$2:$E$94,3,FALSE)</f>
        <v>4596</v>
      </c>
      <c r="P86" s="4">
        <f>VLOOKUP(B86,'[1]CAR DATA SALES 2025'!$B$2:$E$94,4,FALSE)</f>
        <v>3501</v>
      </c>
      <c r="Q86" s="4">
        <f t="shared" si="6"/>
        <v>48839</v>
      </c>
      <c r="R86" s="4" t="s">
        <v>50</v>
      </c>
      <c r="S86" s="4" t="str">
        <f>VLOOKUP(B86,[1]WORKING!$B$2:$D$95,2,FALSE)</f>
        <v>PETROL/CNG</v>
      </c>
      <c r="T86" s="4" t="str">
        <f>VLOOKUP(B86,[1]WORKING!$B$2:$D$95,3,FALSE)</f>
        <v>ICE</v>
      </c>
      <c r="U86" s="4" t="s">
        <v>33</v>
      </c>
      <c r="V86" s="5" t="str">
        <f t="shared" si="4"/>
        <v>-23.8%</v>
      </c>
      <c r="W86" s="5" t="str">
        <f t="shared" si="5"/>
        <v>-18.9%</v>
      </c>
      <c r="X86" s="6" t="str">
        <f>VLOOKUP(Table7[[#This Row],[Model]],[1]!Table1[[Model]:[YoY %]],19,FALSE)</f>
        <v>-5.7%</v>
      </c>
      <c r="Y86" s="6" t="str">
        <f>VLOOKUP(Table7[[#This Row],[Model]],[1]!Table1[[Model]:[YoY %]],20,FALSE)</f>
        <v>22.1%</v>
      </c>
    </row>
    <row r="87" spans="1:25" x14ac:dyDescent="0.3">
      <c r="A87" s="4" t="s">
        <v>147</v>
      </c>
      <c r="B87" s="4" t="s">
        <v>151</v>
      </c>
      <c r="C87" s="4"/>
      <c r="D87" s="4">
        <f>VLOOKUP(Table7[[#This Row],[Model]],'[1]MAIN(CAR DATA SALES 2024'!$B$2:$E$88,4,FALSE)</f>
        <v>356</v>
      </c>
      <c r="E87" s="4">
        <v>264</v>
      </c>
      <c r="F87" s="4">
        <v>283</v>
      </c>
      <c r="G87" s="4">
        <v>236</v>
      </c>
      <c r="H87" s="4">
        <v>178</v>
      </c>
      <c r="I87" s="4">
        <v>204</v>
      </c>
      <c r="J87" s="4">
        <v>186</v>
      </c>
      <c r="K87" s="4">
        <v>342</v>
      </c>
      <c r="L87" s="4">
        <v>149</v>
      </c>
      <c r="M87" s="4">
        <v>170</v>
      </c>
      <c r="N87" s="4">
        <f>VLOOKUP(Table7[[#This Row],[Model]],[1]!Table2[[Model]:[Mar-25]],2,FALSE)</f>
        <v>239</v>
      </c>
      <c r="O87" s="4">
        <f>VLOOKUP(B87,'[1]CAR DATA SALES 2025'!$B$2:$E$94,3,FALSE)</f>
        <v>248</v>
      </c>
      <c r="P87" s="4">
        <f>VLOOKUP(B87,'[1]CAR DATA SALES 2025'!$B$2:$E$94,4,FALSE)</f>
        <v>528</v>
      </c>
      <c r="Q87" s="4">
        <f t="shared" si="6"/>
        <v>3027</v>
      </c>
      <c r="R87" s="4" t="s">
        <v>36</v>
      </c>
      <c r="S87" s="4" t="str">
        <f>VLOOKUP(B87,[1]WORKING!$B$2:$D$95,2,FALSE)</f>
        <v>DIESEL</v>
      </c>
      <c r="T87" s="4" t="str">
        <f>VLOOKUP(B87,[1]WORKING!$B$2:$D$95,3,FALSE)</f>
        <v>ICE</v>
      </c>
      <c r="U87" s="4" t="s">
        <v>152</v>
      </c>
      <c r="V87" s="5" t="str">
        <f t="shared" si="4"/>
        <v>112.9%</v>
      </c>
      <c r="W87" s="5" t="str">
        <f t="shared" si="5"/>
        <v>48.3%</v>
      </c>
      <c r="X87" s="6" t="str">
        <f>VLOOKUP(Table7[[#This Row],[Model]],[1]!Table1[[Model]:[YoY %]],19,FALSE)</f>
        <v>45.3%</v>
      </c>
      <c r="Y87" s="6" t="str">
        <f>VLOOKUP(Table7[[#This Row],[Model]],[1]!Table1[[Model]:[YoY %]],20,FALSE)</f>
        <v>37.4%</v>
      </c>
    </row>
    <row r="88" spans="1:25" x14ac:dyDescent="0.3">
      <c r="A88" s="4" t="s">
        <v>147</v>
      </c>
      <c r="B88" s="4" t="s">
        <v>153</v>
      </c>
      <c r="C88" s="4"/>
      <c r="D88" s="4">
        <f>VLOOKUP(Table7[[#This Row],[Model]],'[1]MAIN(CAR DATA SALES 2024'!$B$2:$E$88,4,FALSE)</f>
        <v>5965</v>
      </c>
      <c r="E88" s="7">
        <v>3252</v>
      </c>
      <c r="F88" s="7">
        <v>3906</v>
      </c>
      <c r="G88" s="7">
        <v>4275</v>
      </c>
      <c r="H88" s="7">
        <v>7419</v>
      </c>
      <c r="I88" s="7">
        <v>6534</v>
      </c>
      <c r="J88" s="7">
        <v>5385</v>
      </c>
      <c r="K88" s="7">
        <v>5449</v>
      </c>
      <c r="L88" s="7">
        <v>4857</v>
      </c>
      <c r="M88" s="7">
        <v>4770</v>
      </c>
      <c r="N88" s="4">
        <f>VLOOKUP(Table7[[#This Row],[Model]],[1]!Table2[[Model]:[Mar-25]],2,FALSE)</f>
        <v>4941</v>
      </c>
      <c r="O88" s="4">
        <f>VLOOKUP(B88,'[1]CAR DATA SALES 2025'!$B$2:$E$94,3,FALSE)</f>
        <v>4314</v>
      </c>
      <c r="P88" s="4">
        <f>VLOOKUP(B88,'[1]CAR DATA SALES 2025'!$B$2:$E$94,4,FALSE)</f>
        <v>5286</v>
      </c>
      <c r="Q88" s="4">
        <f t="shared" si="6"/>
        <v>60388</v>
      </c>
      <c r="R88" s="4" t="s">
        <v>29</v>
      </c>
      <c r="S88" s="4" t="str">
        <f>VLOOKUP(B88,[1]WORKING!$B$2:$D$95,2,FALSE)</f>
        <v>PETROL/HYBRID/CNG</v>
      </c>
      <c r="T88" s="4" t="str">
        <f>VLOOKUP(B88,[1]WORKING!$B$2:$D$95,3,FALSE)</f>
        <v>ICE</v>
      </c>
      <c r="U88" s="4" t="s">
        <v>30</v>
      </c>
      <c r="V88" s="5" t="str">
        <f t="shared" si="4"/>
        <v>22.5%</v>
      </c>
      <c r="W88" s="5" t="str">
        <f t="shared" si="5"/>
        <v>-11.4%</v>
      </c>
      <c r="X88" s="6" t="str">
        <f>VLOOKUP(Table7[[#This Row],[Model]],[1]!Table1[[Model]:[YoY %]],19,FALSE)</f>
        <v>6.5%</v>
      </c>
      <c r="Y88" s="6" t="str">
        <f>VLOOKUP(Table7[[#This Row],[Model]],[1]!Table1[[Model]:[YoY %]],20,FALSE)</f>
        <v>41.8%</v>
      </c>
    </row>
    <row r="89" spans="1:25" x14ac:dyDescent="0.3">
      <c r="A89" s="4" t="s">
        <v>147</v>
      </c>
      <c r="B89" s="4" t="s">
        <v>154</v>
      </c>
      <c r="C89" s="4"/>
      <c r="D89" s="4">
        <f>VLOOKUP(Table7[[#This Row],[Model]],'[1]MAIN(CAR DATA SALES 2024'!$B$2:$E$88,4,FALSE)</f>
        <v>9900</v>
      </c>
      <c r="E89" s="7">
        <v>7103</v>
      </c>
      <c r="F89" s="7">
        <v>8548</v>
      </c>
      <c r="G89" s="7">
        <v>9412</v>
      </c>
      <c r="H89" s="7">
        <v>9912</v>
      </c>
      <c r="I89" s="7">
        <v>9687</v>
      </c>
      <c r="J89" s="7">
        <v>8052</v>
      </c>
      <c r="K89" s="7">
        <v>8838</v>
      </c>
      <c r="L89" s="7">
        <v>7867</v>
      </c>
      <c r="M89" s="7">
        <v>9700</v>
      </c>
      <c r="N89" s="4">
        <f>VLOOKUP(Table7[[#This Row],[Model]],[1]!Table2[[Model]:[Mar-25]],2,FALSE)</f>
        <v>9780</v>
      </c>
      <c r="O89" s="4">
        <f>VLOOKUP(B89,'[1]CAR DATA SALES 2025'!$B$2:$E$94,3,FALSE)</f>
        <v>8449</v>
      </c>
      <c r="P89" s="4">
        <f>VLOOKUP(B89,'[1]CAR DATA SALES 2025'!$B$2:$E$94,4,FALSE)</f>
        <v>9856</v>
      </c>
      <c r="Q89" s="4">
        <f t="shared" si="6"/>
        <v>107204</v>
      </c>
      <c r="R89" s="4" t="s">
        <v>61</v>
      </c>
      <c r="S89" s="4" t="str">
        <f>VLOOKUP(B89,[1]WORKING!$B$2:$D$95,2,FALSE)</f>
        <v>DIESEL/PETROL/HYBRID</v>
      </c>
      <c r="T89" s="4" t="str">
        <f>VLOOKUP(B89,[1]WORKING!$B$2:$D$95,3,FALSE)</f>
        <v>ICE</v>
      </c>
      <c r="U89" s="4" t="s">
        <v>46</v>
      </c>
      <c r="V89" s="5" t="str">
        <f t="shared" si="4"/>
        <v>16.7%</v>
      </c>
      <c r="W89" s="5" t="str">
        <f t="shared" si="5"/>
        <v>-0.4%</v>
      </c>
      <c r="X89" s="6" t="str">
        <f>VLOOKUP(Table7[[#This Row],[Model]],[1]!Table1[[Model]:[YoY %]],19,FALSE)</f>
        <v>16.7%</v>
      </c>
      <c r="Y89" s="6" t="str">
        <f>VLOOKUP(Table7[[#This Row],[Model]],[1]!Table1[[Model]:[YoY %]],20,FALSE)</f>
        <v>18.4%</v>
      </c>
    </row>
    <row r="90" spans="1:25" ht="28.8" x14ac:dyDescent="0.3">
      <c r="A90" s="4" t="s">
        <v>147</v>
      </c>
      <c r="B90" s="4" t="s">
        <v>155</v>
      </c>
      <c r="C90" s="4" t="s">
        <v>156</v>
      </c>
      <c r="D90" s="4">
        <f>VLOOKUP(Table7[[#This Row],[Model]],'[1]MAIN(CAR DATA SALES 2024'!$B$2:$E$88,4,FALSE)</f>
        <v>688</v>
      </c>
      <c r="E90" s="7">
        <v>1192</v>
      </c>
      <c r="F90" s="7">
        <v>1919</v>
      </c>
      <c r="G90" s="7">
        <v>1566</v>
      </c>
      <c r="H90" s="7">
        <v>1929</v>
      </c>
      <c r="I90" s="7">
        <v>1721</v>
      </c>
      <c r="J90" s="7">
        <v>1968</v>
      </c>
      <c r="K90" s="7">
        <v>2169</v>
      </c>
      <c r="L90" s="7">
        <v>1803</v>
      </c>
      <c r="M90" s="7">
        <v>1775</v>
      </c>
      <c r="N90" s="4">
        <f>VLOOKUP(Table7[[#This Row],[Model]],[1]!Table2[[Model]:[Mar-25]],2,FALSE)</f>
        <v>1944</v>
      </c>
      <c r="O90" s="4">
        <f>VLOOKUP(B90,'[1]CAR DATA SALES 2025'!$B$2:$E$94,3,FALSE)</f>
        <v>2099</v>
      </c>
      <c r="P90" s="4">
        <f>VLOOKUP(B90,'[1]CAR DATA SALES 2025'!$B$2:$E$94,4,FALSE)</f>
        <v>1793</v>
      </c>
      <c r="Q90" s="4">
        <f t="shared" si="6"/>
        <v>21878</v>
      </c>
      <c r="R90" s="8" t="s">
        <v>157</v>
      </c>
      <c r="S90" s="4" t="str">
        <f>VLOOKUP(B90,[1]WORKING!$B$2:$D$95,2,FALSE)</f>
        <v>PETROL</v>
      </c>
      <c r="T90" s="4" t="str">
        <f>VLOOKUP(B90,[1]WORKING!$B$2:$D$95,3,FALSE)</f>
        <v>ICE</v>
      </c>
      <c r="U90" s="4" t="s">
        <v>46</v>
      </c>
      <c r="V90" s="5" t="str">
        <f t="shared" si="4"/>
        <v>-14.6%</v>
      </c>
      <c r="W90" s="5" t="str">
        <f t="shared" si="5"/>
        <v>160.6%</v>
      </c>
      <c r="X90" s="6" t="str">
        <f>VLOOKUP(Table7[[#This Row],[Model]],[1]!Table1[[Model]:[YoY %]],19,FALSE)</f>
        <v>-5.8%</v>
      </c>
      <c r="Y90" s="6" t="str">
        <f>VLOOKUP(Table7[[#This Row],[Model]],[1]!Table1[[Model]:[YoY %]],20,FALSE)</f>
        <v>N/A</v>
      </c>
    </row>
    <row r="91" spans="1:25" x14ac:dyDescent="0.3">
      <c r="A91" s="4" t="s">
        <v>147</v>
      </c>
      <c r="B91" s="4" t="s">
        <v>158</v>
      </c>
      <c r="C91" s="4" t="s">
        <v>66</v>
      </c>
      <c r="D91" s="4"/>
      <c r="E91" s="7">
        <v>0</v>
      </c>
      <c r="F91" s="7">
        <v>2180</v>
      </c>
      <c r="G91" s="7">
        <v>3185</v>
      </c>
      <c r="H91" s="7">
        <v>2640</v>
      </c>
      <c r="I91" s="7">
        <v>3213</v>
      </c>
      <c r="J91" s="7">
        <v>2278</v>
      </c>
      <c r="K91" s="7">
        <v>3092</v>
      </c>
      <c r="L91" s="7">
        <v>3620</v>
      </c>
      <c r="M91" s="7">
        <v>2628</v>
      </c>
      <c r="N91" s="4">
        <f>VLOOKUP(Table7[[#This Row],[Model]],[1]!Table2[[Model]:[Mar-25]],2,FALSE)</f>
        <v>2470</v>
      </c>
      <c r="O91" s="4">
        <f>VLOOKUP(B91,'[1]CAR DATA SALES 2025'!$B$2:$E$94,3,FALSE)</f>
        <v>3604</v>
      </c>
      <c r="P91" s="4">
        <f>VLOOKUP(B91,'[1]CAR DATA SALES 2025'!$B$2:$E$94,4,FALSE)</f>
        <v>3468</v>
      </c>
      <c r="Q91" s="4">
        <f t="shared" si="6"/>
        <v>32378</v>
      </c>
      <c r="R91" s="4" t="s">
        <v>32</v>
      </c>
      <c r="S91" s="4" t="str">
        <f>VLOOKUP(B91,[1]WORKING!$B$2:$D$95,2,FALSE)</f>
        <v>PETROL</v>
      </c>
      <c r="T91" s="4" t="str">
        <f>VLOOKUP(B91,[1]WORKING!$B$2:$D$95,3,FALSE)</f>
        <v>ICE</v>
      </c>
      <c r="U91" s="4" t="s">
        <v>33</v>
      </c>
      <c r="V91" s="5" t="str">
        <f t="shared" si="4"/>
        <v>-3.8%</v>
      </c>
      <c r="W91" s="5" t="str">
        <f t="shared" si="5"/>
        <v>N/A</v>
      </c>
      <c r="X91" s="6" t="str">
        <f>VLOOKUP(Table7[[#This Row],[Model]],[1]!Table1[[Model]:[YoY %]],19,FALSE)</f>
        <v>N/A</v>
      </c>
      <c r="Y91" s="6" t="str">
        <f>VLOOKUP(Table7[[#This Row],[Model]],[1]!Table1[[Model]:[YoY %]],20,FALSE)</f>
        <v>N/A</v>
      </c>
    </row>
    <row r="92" spans="1:25" x14ac:dyDescent="0.3">
      <c r="A92" s="4" t="s">
        <v>147</v>
      </c>
      <c r="B92" s="4" t="s">
        <v>159</v>
      </c>
      <c r="C92" s="4"/>
      <c r="D92" s="4">
        <f>VLOOKUP(Table7[[#This Row],[Model]],'[1]MAIN(CAR DATA SALES 2024'!$B$2:$E$88,4,FALSE)</f>
        <v>38</v>
      </c>
      <c r="E92" s="4">
        <v>5</v>
      </c>
      <c r="F92" s="4">
        <v>62</v>
      </c>
      <c r="G92" s="4">
        <v>142</v>
      </c>
      <c r="H92" s="4">
        <v>113</v>
      </c>
      <c r="I92" s="4">
        <v>114</v>
      </c>
      <c r="J92" s="4">
        <v>87</v>
      </c>
      <c r="K92" s="4">
        <v>115</v>
      </c>
      <c r="L92" s="4">
        <v>86</v>
      </c>
      <c r="M92" s="4">
        <v>63</v>
      </c>
      <c r="N92" s="4">
        <f>VLOOKUP(Table7[[#This Row],[Model]],[1]!Table2[[Model]:[Mar-25]],2,FALSE)</f>
        <v>3</v>
      </c>
      <c r="O92" s="4">
        <f>VLOOKUP(B92,'[1]CAR DATA SALES 2025'!$B$2:$E$94,3,FALSE)</f>
        <v>19</v>
      </c>
      <c r="P92" s="4">
        <f>VLOOKUP(B92,'[1]CAR DATA SALES 2025'!$B$2:$E$94,4,FALSE)</f>
        <v>346</v>
      </c>
      <c r="Q92" s="4">
        <f t="shared" si="6"/>
        <v>1155</v>
      </c>
      <c r="R92" s="4" t="s">
        <v>53</v>
      </c>
      <c r="S92" s="4" t="str">
        <f>VLOOKUP(B92,[1]WORKING!$B$2:$D$95,2,FALSE)</f>
        <v>PETROL(HYBRID)</v>
      </c>
      <c r="T92" s="4" t="str">
        <f>VLOOKUP(B92,[1]WORKING!$B$2:$D$95,3,FALSE)</f>
        <v>ICE</v>
      </c>
      <c r="U92" s="4" t="s">
        <v>46</v>
      </c>
      <c r="V92" s="5" t="str">
        <f t="shared" si="4"/>
        <v>Base Effect</v>
      </c>
      <c r="W92" s="5" t="str">
        <f t="shared" si="5"/>
        <v>Base Effect</v>
      </c>
      <c r="X92" s="6" t="str">
        <f>VLOOKUP(Table7[[#This Row],[Model]],[1]!Table1[[Model]:[YoY %]],19,FALSE)</f>
        <v>-33.3%</v>
      </c>
      <c r="Y92" s="6" t="str">
        <f>VLOOKUP(Table7[[#This Row],[Model]],[1]!Table1[[Model]:[YoY %]],20,FALSE)</f>
        <v>-528.9%</v>
      </c>
    </row>
    <row r="93" spans="1:25" x14ac:dyDescent="0.3">
      <c r="A93" s="4" t="s">
        <v>160</v>
      </c>
      <c r="B93" s="4" t="s">
        <v>161</v>
      </c>
      <c r="C93" s="4"/>
      <c r="D93" s="4">
        <f>VLOOKUP(Table7[[#This Row],[Model]],'[1]MAIN(CAR DATA SALES 2024'!$B$2:$E$88,4,FALSE)</f>
        <v>1588</v>
      </c>
      <c r="E93" s="7">
        <v>1758</v>
      </c>
      <c r="F93" s="7">
        <v>1561</v>
      </c>
      <c r="G93" s="7">
        <v>1519</v>
      </c>
      <c r="H93" s="7">
        <v>1564</v>
      </c>
      <c r="I93" s="7">
        <v>1628</v>
      </c>
      <c r="J93" s="7">
        <v>1611</v>
      </c>
      <c r="K93" s="7">
        <v>2028</v>
      </c>
      <c r="L93" s="7">
        <v>1497</v>
      </c>
      <c r="M93" s="7">
        <v>2335</v>
      </c>
      <c r="N93" s="4">
        <f>VLOOKUP(Table7[[#This Row],[Model]],[1]!Table2[[Model]:[Mar-25]],2,FALSE)</f>
        <v>1548</v>
      </c>
      <c r="O93" s="4">
        <f>VLOOKUP(B93,'[1]CAR DATA SALES 2025'!$B$2:$E$94,3,FALSE)</f>
        <v>1271</v>
      </c>
      <c r="P93" s="4">
        <f>VLOOKUP(B93,'[1]CAR DATA SALES 2025'!$B$2:$E$94,4,FALSE)</f>
        <v>1590</v>
      </c>
      <c r="Q93" s="4">
        <f t="shared" si="6"/>
        <v>19910</v>
      </c>
      <c r="R93" s="4" t="s">
        <v>29</v>
      </c>
      <c r="S93" s="4" t="str">
        <f>VLOOKUP(B93,[1]WORKING!$B$2:$D$95,2,FALSE)</f>
        <v>PETROL</v>
      </c>
      <c r="T93" s="4" t="str">
        <f>VLOOKUP(B93,[1]WORKING!$B$2:$D$95,3,FALSE)</f>
        <v>ICE</v>
      </c>
      <c r="U93" s="4" t="s">
        <v>30</v>
      </c>
      <c r="V93" s="5" t="str">
        <f t="shared" si="4"/>
        <v>25.1%</v>
      </c>
      <c r="W93" s="5" t="str">
        <f t="shared" si="5"/>
        <v>0.1%</v>
      </c>
      <c r="X93" s="6" t="str">
        <f>VLOOKUP(Table7[[#This Row],[Model]],[1]!Table1[[Model]:[YoY %]],19,FALSE)</f>
        <v>23.5%</v>
      </c>
      <c r="Y93" s="6" t="str">
        <f>VLOOKUP(Table7[[#This Row],[Model]],[1]!Table1[[Model]:[YoY %]],20,FALSE)</f>
        <v>-24.4%</v>
      </c>
    </row>
    <row r="94" spans="1:25" x14ac:dyDescent="0.3">
      <c r="A94" s="4" t="s">
        <v>160</v>
      </c>
      <c r="B94" s="4" t="s">
        <v>162</v>
      </c>
      <c r="C94" s="4"/>
      <c r="D94" s="4">
        <f>VLOOKUP(Table7[[#This Row],[Model]],'[1]MAIN(CAR DATA SALES 2024'!$B$2:$E$88,4,FALSE)</f>
        <v>94</v>
      </c>
      <c r="E94" s="4">
        <v>108</v>
      </c>
      <c r="F94" s="4">
        <v>102</v>
      </c>
      <c r="G94" s="4">
        <v>85</v>
      </c>
      <c r="H94" s="4">
        <v>77</v>
      </c>
      <c r="I94" s="4">
        <v>73</v>
      </c>
      <c r="J94" s="4">
        <v>86</v>
      </c>
      <c r="K94" s="4">
        <v>79</v>
      </c>
      <c r="L94" s="4">
        <v>79</v>
      </c>
      <c r="M94" s="4">
        <v>195</v>
      </c>
      <c r="N94" s="4">
        <f>VLOOKUP(Table7[[#This Row],[Model]],[1]!Table2[[Model]:[Mar-25]],2,FALSE)</f>
        <v>1</v>
      </c>
      <c r="O94" s="4">
        <f>VLOOKUP(B94,'[1]CAR DATA SALES 2025'!$B$2:$E$94,3,FALSE)</f>
        <v>2</v>
      </c>
      <c r="P94" s="4">
        <f>VLOOKUP(B94,'[1]CAR DATA SALES 2025'!$B$2:$E$94,4,FALSE)</f>
        <v>1</v>
      </c>
      <c r="Q94" s="4">
        <f t="shared" si="6"/>
        <v>888</v>
      </c>
      <c r="R94" s="4" t="s">
        <v>36</v>
      </c>
      <c r="S94" s="4" t="str">
        <f>VLOOKUP(B94,[1]WORKING!$B$2:$D$95,2,FALSE)</f>
        <v>PETROL</v>
      </c>
      <c r="T94" s="4" t="str">
        <f>VLOOKUP(B94,[1]WORKING!$B$2:$D$95,3,FALSE)</f>
        <v>ICE</v>
      </c>
      <c r="U94" s="4" t="s">
        <v>30</v>
      </c>
      <c r="V94" s="5" t="str">
        <f t="shared" si="4"/>
        <v>-50.0%</v>
      </c>
      <c r="W94" s="5" t="str">
        <f t="shared" si="5"/>
        <v>-98.9%</v>
      </c>
      <c r="X94" s="6" t="str">
        <f>VLOOKUP(Table7[[#This Row],[Model]],[1]!Table1[[Model]:[YoY %]],19,FALSE)</f>
        <v>-7.8%</v>
      </c>
      <c r="Y94" s="6" t="str">
        <f>VLOOKUP(Table7[[#This Row],[Model]],[1]!Table1[[Model]:[YoY %]],20,FALSE)</f>
        <v>-40.4%</v>
      </c>
    </row>
    <row r="95" spans="1:25" x14ac:dyDescent="0.3">
      <c r="A95" s="10" t="s">
        <v>160</v>
      </c>
      <c r="B95" s="10" t="s">
        <v>163</v>
      </c>
      <c r="C95" s="10"/>
      <c r="D95" s="10">
        <f>VLOOKUP(Table7[[#This Row],[Model]],'[1]MAIN(CAR DATA SALES 2024'!$B$2:$E$88,4,FALSE)</f>
        <v>1847</v>
      </c>
      <c r="E95" s="11">
        <v>1183</v>
      </c>
      <c r="F95" s="11">
        <v>1610</v>
      </c>
      <c r="G95" s="11">
        <v>1656</v>
      </c>
      <c r="H95" s="11">
        <v>1766</v>
      </c>
      <c r="I95" s="11">
        <v>1876</v>
      </c>
      <c r="J95" s="11">
        <v>1697</v>
      </c>
      <c r="K95" s="11">
        <v>2351</v>
      </c>
      <c r="L95" s="11">
        <v>1457</v>
      </c>
      <c r="M95" s="11">
        <v>2257</v>
      </c>
      <c r="N95" s="4">
        <f>VLOOKUP(Table7[[#This Row],[Model]],[1]!Table2[[Model]:[Mar-25]],2,FALSE)</f>
        <v>1795</v>
      </c>
      <c r="O95" s="4">
        <f>VLOOKUP(B95,'[1]CAR DATA SALES 2025'!$B$2:$E$94,3,FALSE)</f>
        <v>1837</v>
      </c>
      <c r="P95" s="4">
        <f>VLOOKUP(B95,'[1]CAR DATA SALES 2025'!$B$2:$E$94,4,FALSE)</f>
        <v>1947</v>
      </c>
      <c r="Q95" s="4">
        <f t="shared" si="6"/>
        <v>21432</v>
      </c>
      <c r="R95" s="10" t="s">
        <v>29</v>
      </c>
      <c r="S95" s="4" t="str">
        <f>VLOOKUP(B95,[1]WORKING!$B$2:$D$95,2,FALSE)</f>
        <v>PETROL</v>
      </c>
      <c r="T95" s="4" t="str">
        <f>VLOOKUP(B95,[1]WORKING!$B$2:$D$95,3,FALSE)</f>
        <v>ICE</v>
      </c>
      <c r="U95" s="10" t="s">
        <v>40</v>
      </c>
      <c r="V95" s="5" t="str">
        <f t="shared" si="4"/>
        <v>6.0%</v>
      </c>
      <c r="W95" s="5" t="str">
        <f t="shared" si="5"/>
        <v>5.4%</v>
      </c>
      <c r="X95" s="6" t="str">
        <f>VLOOKUP(Table7[[#This Row],[Model]],[1]!Table1[[Model]:[YoY %]],19,FALSE)</f>
        <v>13.2%</v>
      </c>
      <c r="Y95" s="6" t="str">
        <f>VLOOKUP(Table7[[#This Row],[Model]],[1]!Table1[[Model]:[YoY %]],20,FALSE)</f>
        <v>3.0%</v>
      </c>
    </row>
  </sheetData>
  <mergeCells count="1">
    <mergeCell ref="A1:Y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FY24-25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R.P</dc:creator>
  <cp:lastModifiedBy>Keerthana R.P</cp:lastModifiedBy>
  <dcterms:created xsi:type="dcterms:W3CDTF">2026-07-08T13:24:35Z</dcterms:created>
  <dcterms:modified xsi:type="dcterms:W3CDTF">2026-07-08T13:25:26Z</dcterms:modified>
</cp:coreProperties>
</file>